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PS Use Case Worksheet" sheetId="2" r:id="rId6"/>
    <sheet state="visible" name="Stream Overview" sheetId="3" r:id="rId7"/>
    <sheet state="visible" name="wgdefault" sheetId="4" r:id="rId8"/>
    <sheet state="visible" name="wgdefaultHybrid" sheetId="5" r:id="rId9"/>
    <sheet state="visible" name="Edge Overview" sheetId="6" r:id="rId10"/>
    <sheet state="visible" name="fldefault_fleet" sheetId="7" r:id="rId11"/>
    <sheet state="visible" name="input_data" sheetId="8" r:id="rId12"/>
  </sheets>
  <definedNames>
    <definedName hidden="1" localSheetId="3" name="_xlnm._FilterDatabase">wgdefault!$A$2:$AE$21</definedName>
    <definedName hidden="1" localSheetId="4" name="_xlnm._FilterDatabase">wgdefaultHybrid!$A$2:$AE$21</definedName>
    <definedName hidden="1" localSheetId="6" name="_xlnm._FilterDatabase">fldefault_fleet!$A$2:$AE$21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To be used for tracking upcoming sources/destinations</t>
      </text>
    </comment>
    <comment authorId="0" ref="L2">
      <text>
        <t xml:space="preserve">Any changes in compliance requirements coming soon?</t>
      </text>
    </comment>
    <comment authorId="0" ref="N2">
      <text>
        <t xml:space="preserve">Who cares about how this data is utilized? Whose life does Cribl improve?</t>
      </text>
    </comment>
    <comment authorId="0" ref="P2">
      <text>
        <t xml:space="preserve">Double-click cell to select date</t>
      </text>
    </comment>
    <comment authorId="0" ref="Q2">
      <text>
        <t xml:space="preserve">Double-click cell to select date</t>
      </text>
    </comment>
    <comment authorId="0" ref="R2">
      <text>
        <t xml:space="preserve">Double-click cell to select date</t>
      </text>
    </comment>
    <comment authorId="0" ref="S2">
      <text>
        <t xml:space="preserve">Any factor impacting Target Onboarding End</t>
      </text>
    </comment>
    <comment authorId="0" ref="T2">
      <text>
        <t xml:space="preserve">Does this data source have anticipated year-over-year growth?
Identifying this might lead to insights driving the necessity of strategy pivot if the growth outpaces their SIEM license.</t>
      </text>
    </comment>
    <comment authorId="0" ref="U2">
      <text>
        <t xml:space="preserve">Realized optimization AFTER onboarding</t>
      </text>
    </comment>
    <comment authorId="0" ref="V2">
      <text>
        <t xml:space="preserve">Realized optimization AFTER onboarding</t>
      </text>
    </comment>
    <comment authorId="0" ref="Y2">
      <text>
        <t xml:space="preserve">Value to the business beyond data metrics.  Examples include:
- Improved operational visibility
- Enrichment with the CMDB
- Saved XX Splunk SVCs by not processing Data Model Acceleration</t>
      </text>
    </comment>
    <comment authorId="0" ref="AD2">
      <text>
        <t xml:space="preserve">Non-Technical Influence to the source, can be a blocker, pressure to onboard rapidly, etc.
ex - Other business unit preventing integration, Source needed due to previous incident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To be used for tracking upcoming sources/destinations</t>
      </text>
    </comment>
    <comment authorId="0" ref="L2">
      <text>
        <t xml:space="preserve">Any changes in compliance requirements coming soon?</t>
      </text>
    </comment>
    <comment authorId="0" ref="N2">
      <text>
        <t xml:space="preserve">Who cares about how this data is utilized? Whose life does Cribl improve?</t>
      </text>
    </comment>
    <comment authorId="0" ref="P2">
      <text>
        <t xml:space="preserve">Double-click cell to select date</t>
      </text>
    </comment>
    <comment authorId="0" ref="Q2">
      <text>
        <t xml:space="preserve">Double-click cell to select date</t>
      </text>
    </comment>
    <comment authorId="0" ref="R2">
      <text>
        <t xml:space="preserve">Double-click cell to select date</t>
      </text>
    </comment>
    <comment authorId="0" ref="S2">
      <text>
        <t xml:space="preserve">Any factor impacting Target Onboarding End</t>
      </text>
    </comment>
    <comment authorId="0" ref="T2">
      <text>
        <t xml:space="preserve">Does this data source have anticipated year-over-year growth?
Identifying this might lead to insights driving the necessity of strategy pivot if the growth outpaces their SIEM license.</t>
      </text>
    </comment>
    <comment authorId="0" ref="U2">
      <text>
        <t xml:space="preserve">Realized optimization AFTER onboarding</t>
      </text>
    </comment>
    <comment authorId="0" ref="V2">
      <text>
        <t xml:space="preserve">Realized optimization AFTER onboarding</t>
      </text>
    </comment>
    <comment authorId="0" ref="Y2">
      <text>
        <t xml:space="preserve">Value to the business beyond data metrics.  Examples include:
- Improved operational visibility
- Enrichment with the CMDB
- Saved XX Splunk SVCs by not processing Data Model Acceleration</t>
      </text>
    </comment>
    <comment authorId="0" ref="AD2">
      <text>
        <t xml:space="preserve">Non-Technical Influence to the source, can be a blocker, pressure to onboard rapidly, etc.
ex - Other business unit preventing integration, Source needed due to previous incident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To be used for tracking upcoming sources/destinations</t>
      </text>
    </comment>
    <comment authorId="0" ref="L2">
      <text>
        <t xml:space="preserve">Any changes in compliance requirements coming soon?</t>
      </text>
    </comment>
    <comment authorId="0" ref="N2">
      <text>
        <t xml:space="preserve">Who cares about how this data is utilized? Whose life does Cribl improve?</t>
      </text>
    </comment>
    <comment authorId="0" ref="P2">
      <text>
        <t xml:space="preserve">Double-click cell to select date</t>
      </text>
    </comment>
    <comment authorId="0" ref="Q2">
      <text>
        <t xml:space="preserve">Double-click cell to select date</t>
      </text>
    </comment>
    <comment authorId="0" ref="R2">
      <text>
        <t xml:space="preserve">Double-click cell to select date</t>
      </text>
    </comment>
    <comment authorId="0" ref="S2">
      <text>
        <t xml:space="preserve">Any factor impacting Target Onboarding End</t>
      </text>
    </comment>
    <comment authorId="0" ref="T2">
      <text>
        <t xml:space="preserve">Does this data source have anticipated year-over-year growth?
Identifying this might lead to insights driving the necessity of strategy pivot if the growth outpaces their SIEM license.</t>
      </text>
    </comment>
    <comment authorId="0" ref="U2">
      <text>
        <t xml:space="preserve">Realized optimization AFTER onboarding</t>
      </text>
    </comment>
    <comment authorId="0" ref="V2">
      <text>
        <t xml:space="preserve">Realized optimization AFTER onboarding</t>
      </text>
    </comment>
    <comment authorId="0" ref="Y2">
      <text>
        <t xml:space="preserve">Value to the business beyond data metrics.  Examples include:
- Improved operational visibility
- Enrichment with the CMDB
- Saved XX Splunk SVCs by not processing Data Model Acceleration</t>
      </text>
    </comment>
    <comment authorId="0" ref="AD2">
      <text>
        <t xml:space="preserve">Non-Technical Influence to the source, can be a blocker, pressure to onboard rapidly, etc.
ex - Other business unit preventing integration, Source needed due to previous incident</t>
      </text>
    </comment>
  </commentList>
</comments>
</file>

<file path=xl/sharedStrings.xml><?xml version="1.0" encoding="utf-8"?>
<sst xmlns="http://schemas.openxmlformats.org/spreadsheetml/2006/main" count="366" uniqueCount="224">
  <si>
    <t>INSTRUCTIONS</t>
  </si>
  <si>
    <r>
      <rPr>
        <rFont val="Arial"/>
        <color theme="1"/>
      </rPr>
      <t>1. Clone this sheet and rename it to "</t>
    </r>
    <r>
      <rPr>
        <rFont val="Arial"/>
        <b/>
        <color theme="1"/>
      </rPr>
      <t>&lt;customer name&gt; adoption plan</t>
    </r>
    <r>
      <rPr>
        <rFont val="Arial"/>
        <color theme="1"/>
      </rPr>
      <t>"</t>
    </r>
  </si>
  <si>
    <r>
      <rPr>
        <rFont val="Arial"/>
        <color theme="1"/>
      </rPr>
      <t xml:space="preserve">2. Move the cloned sheet in Google Drive to </t>
    </r>
    <r>
      <rPr>
        <rFont val="Arial"/>
        <b/>
        <color theme="1"/>
      </rPr>
      <t>Shared Drives &gt; [Internal] CX &gt; CX Customer Folders [Shared w/Sales] &gt; CX - Customer Folder - &lt;customername&gt;</t>
    </r>
  </si>
  <si>
    <r>
      <rPr>
        <rFont val="Arial"/>
        <color theme="1"/>
      </rPr>
      <t xml:space="preserve">3. In Gainsight, navigate to the </t>
    </r>
    <r>
      <rPr>
        <rFont val="Arial"/>
        <b/>
        <color theme="1"/>
      </rPr>
      <t>customer page &gt; Customer Info &gt; CX Details &gt; scroll to the bottom of CX Details</t>
    </r>
    <r>
      <rPr>
        <rFont val="Arial"/>
        <color theme="1"/>
      </rPr>
      <t xml:space="preserve"> and paste the sheet URL into the </t>
    </r>
    <r>
      <rPr>
        <rFont val="Arial"/>
        <b/>
        <color theme="1"/>
      </rPr>
      <t>Adoption Plan URL</t>
    </r>
    <r>
      <rPr>
        <rFont val="Arial"/>
        <color theme="1"/>
      </rPr>
      <t xml:space="preserve"> field</t>
    </r>
  </si>
  <si>
    <r>
      <rPr>
        <rFont val="Arial"/>
        <color rgb="FFFF0000"/>
      </rPr>
      <t xml:space="preserve">4. Delete this tab (the one titled </t>
    </r>
    <r>
      <rPr>
        <rFont val="Arial"/>
        <b/>
        <color rgb="FFFF0000"/>
      </rPr>
      <t>INSTRUCTIONS</t>
    </r>
    <r>
      <rPr>
        <rFont val="Arial"/>
        <color rgb="FFFF0000"/>
      </rPr>
      <t>).</t>
    </r>
  </si>
  <si>
    <t>Activation Base Scope</t>
  </si>
  <si>
    <t>Item</t>
  </si>
  <si>
    <t>_</t>
  </si>
  <si>
    <t>Deliverable</t>
  </si>
  <si>
    <t>Status</t>
  </si>
  <si>
    <t>Notes</t>
  </si>
  <si>
    <t>Architecture</t>
  </si>
  <si>
    <t>Architecture Meetings &amp; Diagrams</t>
  </si>
  <si>
    <t>Not Started</t>
  </si>
  <si>
    <t>Use Case Planning</t>
  </si>
  <si>
    <t>Use Case Worksheet</t>
  </si>
  <si>
    <t>Deployment</t>
  </si>
  <si>
    <t>Leader and Workers Deployed</t>
  </si>
  <si>
    <t>Source/Destination Configuration</t>
  </si>
  <si>
    <t>Use Cases Configured</t>
  </si>
  <si>
    <t>Health Check</t>
  </si>
  <si>
    <t>As-Built Architecture Document</t>
  </si>
  <si>
    <t>Activation Use Case Overview</t>
  </si>
  <si>
    <t>Use Case #</t>
  </si>
  <si>
    <t>Use Case</t>
  </si>
  <si>
    <t>Activation Use Case Worksheet</t>
  </si>
  <si>
    <t>#</t>
  </si>
  <si>
    <t>Parameters (Specific Logs/Tasks)</t>
  </si>
  <si>
    <t>Base Scope - Primary Source</t>
  </si>
  <si>
    <t>Base Scope - Primary Destination</t>
  </si>
  <si>
    <t>Base Scope - Storage Location</t>
  </si>
  <si>
    <t>Use Case #1 (Silver)</t>
  </si>
  <si>
    <t>Use Case #2 (Silver)</t>
  </si>
  <si>
    <t>Use Case #3 (Gold)</t>
  </si>
  <si>
    <t>Use Case #4 (Platinum)</t>
  </si>
  <si>
    <t>Use Case #5 (Platinum)</t>
  </si>
  <si>
    <t>Sources, Volume, Region</t>
  </si>
  <si>
    <t>Source</t>
  </si>
  <si>
    <t>Daily Volume (GB/day)</t>
  </si>
  <si>
    <t>Physical location(s)</t>
  </si>
  <si>
    <t>Current Collection</t>
  </si>
  <si>
    <t>Cribl Collection</t>
  </si>
  <si>
    <t>WG</t>
  </si>
  <si>
    <t>Use Case(s)</t>
  </si>
  <si>
    <t>Destination(s)</t>
  </si>
  <si>
    <t>Worker Groups &amp; Specs</t>
  </si>
  <si>
    <t>Ingest (GB/day)</t>
  </si>
  <si>
    <t>Egress (GB/Day)</t>
  </si>
  <si>
    <t>Throughput (GB/Day)</t>
  </si>
  <si>
    <t>Worker Hosting</t>
  </si>
  <si>
    <t>Worker Count</t>
  </si>
  <si>
    <t>Worker Detail</t>
  </si>
  <si>
    <t>Disk Req'd For 1 Day Storage</t>
  </si>
  <si>
    <t>SOURCE ONBOARDING</t>
  </si>
  <si>
    <t>PRIMARY DATA POINTS</t>
  </si>
  <si>
    <t>VOLUME &amp; PRIORITY</t>
  </si>
  <si>
    <t>PHASE &amp; ROADMAP</t>
  </si>
  <si>
    <t>INITIATIVE, USE CASES, VALUE LEVERS</t>
  </si>
  <si>
    <t>Worker Group</t>
  </si>
  <si>
    <t>Security or Observability or both data?</t>
  </si>
  <si>
    <t>Stream or Edge?</t>
  </si>
  <si>
    <t>Source tile</t>
  </si>
  <si>
    <t>Pipeline usecase</t>
  </si>
  <si>
    <t>Destinations</t>
  </si>
  <si>
    <t>Retention</t>
  </si>
  <si>
    <t>Average Daily Volume? (GB)</t>
  </si>
  <si>
    <t>Compliance related?</t>
  </si>
  <si>
    <t>Data criticality</t>
  </si>
  <si>
    <t>Stakeholder(s) (team / line of business)</t>
  </si>
  <si>
    <t>Current?</t>
  </si>
  <si>
    <t>Target Onboarding Start</t>
  </si>
  <si>
    <t>Target Onboarding End</t>
  </si>
  <si>
    <t>Onboarding Completed On</t>
  </si>
  <si>
    <t>Blockers</t>
  </si>
  <si>
    <t>Growth?</t>
  </si>
  <si>
    <t>Data optimization %</t>
  </si>
  <si>
    <t>Data optimization (GB)</t>
  </si>
  <si>
    <t>Initiative case</t>
  </si>
  <si>
    <t>Technical Use Case</t>
  </si>
  <si>
    <t>Financial</t>
  </si>
  <si>
    <t>Operational</t>
  </si>
  <si>
    <t>Risk Reduction</t>
  </si>
  <si>
    <t>Strategic</t>
  </si>
  <si>
    <t>Onboarding Effort</t>
  </si>
  <si>
    <t>Politics</t>
  </si>
  <si>
    <t>Additional notes</t>
  </si>
  <si>
    <t>Fleets &amp; Specs</t>
  </si>
  <si>
    <t>FL</t>
  </si>
  <si>
    <t>Fleet</t>
  </si>
  <si>
    <t>Tech_tiles</t>
  </si>
  <si>
    <t>Dest_tiles</t>
  </si>
  <si>
    <t>Pipeline</t>
  </si>
  <si>
    <t>Criticality</t>
  </si>
  <si>
    <t>StreamEdge</t>
  </si>
  <si>
    <t>Initiatives</t>
  </si>
  <si>
    <t>Technical use cases</t>
  </si>
  <si>
    <t>Financial value</t>
  </si>
  <si>
    <t>Operational value</t>
  </si>
  <si>
    <t>Risk reduction value</t>
  </si>
  <si>
    <t>Strategic value</t>
  </si>
  <si>
    <t>AmazonFirehose</t>
  </si>
  <si>
    <t>AmazonCloudwatch</t>
  </si>
  <si>
    <t>Aggregation</t>
  </si>
  <si>
    <t>HIGH</t>
  </si>
  <si>
    <t>Stream</t>
  </si>
  <si>
    <t>Data Optimization</t>
  </si>
  <si>
    <t>Cloud Migration</t>
  </si>
  <si>
    <t>Reduce data/license cost by optimizing data</t>
  </si>
  <si>
    <t>Simplify getting data in/out (incl. multiple dest.)</t>
  </si>
  <si>
    <t>Improve ability to meet SLAs/LOS</t>
  </si>
  <si>
    <t>Enable data broker strategy (collect once-route many)</t>
  </si>
  <si>
    <t>AmazonKinesis</t>
  </si>
  <si>
    <t>Cleanup</t>
  </si>
  <si>
    <t>MEDIUM</t>
  </si>
  <si>
    <t>Edge</t>
  </si>
  <si>
    <t>SIEM Migration &amp; Optimization</t>
  </si>
  <si>
    <t>Edge Collection</t>
  </si>
  <si>
    <t>Reduce data/license cost by routing data around expensive systems of analysis</t>
  </si>
  <si>
    <t>Simplify the reshaping of data</t>
  </si>
  <si>
    <t>Improve visibility</t>
  </si>
  <si>
    <t>Future proof enterprise - decouple data from SIEM</t>
  </si>
  <si>
    <t>AmazonS3</t>
  </si>
  <si>
    <t>AmazonMSK</t>
  </si>
  <si>
    <t>Dedup</t>
  </si>
  <si>
    <t>LOW</t>
  </si>
  <si>
    <t>Threat Analysis / Hunting</t>
  </si>
  <si>
    <t>Enrichment</t>
  </si>
  <si>
    <t>Reduce storage cost by routing to more affordable storage</t>
  </si>
  <si>
    <t>Simplify the enriching of data</t>
  </si>
  <si>
    <t>Improve MTTI/MTTR</t>
  </si>
  <si>
    <t>Easily experiment new tools - derisk selection of new tools</t>
  </si>
  <si>
    <t>AmazonSQS</t>
  </si>
  <si>
    <t>Masking</t>
  </si>
  <si>
    <t>Real Time Monitoring &amp; Alerting</t>
  </si>
  <si>
    <t>Redaction</t>
  </si>
  <si>
    <t>Reduce storage cost by optimizing data</t>
  </si>
  <si>
    <t>Simplify the redacting of data</t>
  </si>
  <si>
    <t>Decrease the probability of an IT outage</t>
  </si>
  <si>
    <t>Increase leverage over vendors</t>
  </si>
  <si>
    <t>AzureBlob</t>
  </si>
  <si>
    <t>AmazonSecurityLake</t>
  </si>
  <si>
    <t>Parsing</t>
  </si>
  <si>
    <t>Application Sprawl</t>
  </si>
  <si>
    <t>Reduction</t>
  </si>
  <si>
    <t>Reduce/eliminate pipeline infrastructure costs (e.g., syslog, HF, indexers, cloud compute/data pipelines)</t>
  </si>
  <si>
    <t>Simplify replaying the data</t>
  </si>
  <si>
    <t>Improve ability to meet compliance regulations (increase in retention requirements, access data for audits, etc.)</t>
  </si>
  <si>
    <t>Accelerate migration to Cloud</t>
  </si>
  <si>
    <t>AzureEventHub</t>
  </si>
  <si>
    <t>Passthru</t>
  </si>
  <si>
    <t>Replay</t>
  </si>
  <si>
    <t>Consolidate tools (e.g., agents, data analysis, and search tools)</t>
  </si>
  <si>
    <t>Simplify searching/analyzing data</t>
  </si>
  <si>
    <t>Improve ability to meet compliance regulations (complying with GDPR, PII, PHI)</t>
  </si>
  <si>
    <t>Generate reveneue - get data previously unavailable to other internal customers</t>
  </si>
  <si>
    <t>CriblHTTP</t>
  </si>
  <si>
    <t>AzureDataExplorer</t>
  </si>
  <si>
    <t>Publish metrics</t>
  </si>
  <si>
    <t>Distributed Cluster O11y</t>
  </si>
  <si>
    <t>Routing</t>
  </si>
  <si>
    <t>Reduce network egress costs</t>
  </si>
  <si>
    <t>Simplify maintaining a data lake</t>
  </si>
  <si>
    <t>Enhance performance of system of analysis</t>
  </si>
  <si>
    <t>CriblTCP</t>
  </si>
  <si>
    <t>Sampling</t>
  </si>
  <si>
    <t>Linux + Windows Monitoring (Agent Consolidation)</t>
  </si>
  <si>
    <t>Search</t>
  </si>
  <si>
    <t>Avoid a renewal extension of a deprecated tool by accelerating migration to a new tool</t>
  </si>
  <si>
    <t>Simplify management of pipeline infrastructure (e.g., syslog/HFs/indexers, etc.)</t>
  </si>
  <si>
    <t>CS FDR</t>
  </si>
  <si>
    <t>ConfluentCloud</t>
  </si>
  <si>
    <t>Schematize</t>
  </si>
  <si>
    <t>OpenTelemetry Adoption</t>
  </si>
  <si>
    <t>Transformation</t>
  </si>
  <si>
    <t>Simplify management of agents</t>
  </si>
  <si>
    <t>DatabaseColl</t>
  </si>
  <si>
    <t>Cribl Lake</t>
  </si>
  <si>
    <t>Kubernetes</t>
  </si>
  <si>
    <t>Universal Receiver</t>
  </si>
  <si>
    <t>Simplify maintaining compliance requirements (e.g., retention and/or data privacy)</t>
  </si>
  <si>
    <t>Datadog</t>
  </si>
  <si>
    <t>Performance &amp; Expense Control</t>
  </si>
  <si>
    <t>Other (Manual Entry)</t>
  </si>
  <si>
    <t>Improve MTTI &amp; MTTR</t>
  </si>
  <si>
    <t>Elastic API</t>
  </si>
  <si>
    <t>Infrastructure Modernization &amp; Centralization</t>
  </si>
  <si>
    <t>Avoid/eliminate building/maintaining DIY tooling for streaming and shipping (e.g., Logstash, Kafka, NiFi, etc.)</t>
  </si>
  <si>
    <t>FileSystem</t>
  </si>
  <si>
    <t>CS NGSIEM</t>
  </si>
  <si>
    <t>Compliance Efficiency</t>
  </si>
  <si>
    <t>GoogleCloudStorage</t>
  </si>
  <si>
    <t>Data Lake Strategy + Implementation</t>
  </si>
  <si>
    <t>GooglePubSub</t>
  </si>
  <si>
    <t>Devnull</t>
  </si>
  <si>
    <t>Grafana</t>
  </si>
  <si>
    <t>DynatraceHTTP</t>
  </si>
  <si>
    <t>HTTP</t>
  </si>
  <si>
    <t>ElasticCloud</t>
  </si>
  <si>
    <t>Kafka</t>
  </si>
  <si>
    <t>Elasticsearch</t>
  </si>
  <si>
    <t>Netflow</t>
  </si>
  <si>
    <t>Exabeam</t>
  </si>
  <si>
    <t>O365</t>
  </si>
  <si>
    <t>OpenTelemetry</t>
  </si>
  <si>
    <t>RawHTTP</t>
  </si>
  <si>
    <t>GoogleSecOps</t>
  </si>
  <si>
    <t>REST API</t>
  </si>
  <si>
    <t>GrafanaCloud</t>
  </si>
  <si>
    <t>Script</t>
  </si>
  <si>
    <t>Graphite</t>
  </si>
  <si>
    <t>SplunkHEC</t>
  </si>
  <si>
    <t>SplunkSearch</t>
  </si>
  <si>
    <t>MicrosoftSentinel</t>
  </si>
  <si>
    <t>SplunkTCP</t>
  </si>
  <si>
    <t>OTEL</t>
  </si>
  <si>
    <t>Syslog</t>
  </si>
  <si>
    <t>TCPJSON</t>
  </si>
  <si>
    <t>SplunkLB</t>
  </si>
  <si>
    <t>WinEvtFwd</t>
  </si>
  <si>
    <t>StatsD</t>
  </si>
  <si>
    <t>ZscalerCloudNSS</t>
  </si>
  <si>
    <t>SumoLogic</t>
  </si>
  <si>
    <t>Webhook</t>
  </si>
  <si>
    <t>XSIAM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</si>
</sst>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yyyy&quot;-&quot;mm&quot;-&quot;dd"/>
    <numFmt numFmtId="166" formatCode="d&quot;-&quot;mmm&quot;-&quot;yyyy"/>
  </numFmts>
  <fonts count="19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color theme="1"/>
      <name val="Arial"/>
      <scheme val="minor"/>
    </font>
    <font/>
    <font>
      <color rgb="FFFF0000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</font>
    <font>
      <color rgb="FFFFFFFF"/>
      <name val="Roboto"/>
    </font>
    <font>
      <color theme="1"/>
      <name val="Arial"/>
    </font>
    <font>
      <color rgb="FF434343"/>
      <name val="Roboto"/>
    </font>
    <font>
      <sz val="11.0"/>
      <color theme="1"/>
      <name val="Calibri"/>
    </font>
    <font>
      <b/>
      <sz val="16.0"/>
      <color rgb="FF000000"/>
      <name val="Docs-Calibri"/>
    </font>
    <font>
      <b/>
      <sz val="16.0"/>
      <color theme="1"/>
      <name val="Calibri"/>
    </font>
    <font>
      <b/>
      <sz val="11.0"/>
      <color theme="1"/>
      <name val="Calibri"/>
    </font>
    <font>
      <b/>
      <color theme="1"/>
      <name val="Open Sans"/>
    </font>
    <font>
      <b/>
      <color theme="1"/>
      <name val="Arial"/>
    </font>
    <font>
      <color theme="1"/>
      <name val="Open Sans"/>
    </font>
    <font>
      <b/>
      <sz val="16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/>
    </xf>
    <xf borderId="5" fillId="0" fontId="3" numFmtId="0" xfId="0" applyBorder="1" applyFont="1"/>
    <xf borderId="6" fillId="0" fontId="4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vertical="top"/>
    </xf>
    <xf borderId="9" fillId="2" fontId="8" numFmtId="0" xfId="0" applyAlignment="1" applyBorder="1" applyFill="1" applyFont="1">
      <alignment horizontal="left" readingOrder="0" shrinkToFit="0" vertical="center" wrapText="0"/>
    </xf>
    <xf borderId="10" fillId="2" fontId="8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vertical="bottom"/>
    </xf>
    <xf borderId="11" fillId="3" fontId="10" numFmtId="0" xfId="0" applyAlignment="1" applyBorder="1" applyFill="1" applyFont="1">
      <alignment horizontal="right" shrinkToFit="0" vertical="center" wrapText="0"/>
    </xf>
    <xf borderId="12" fillId="3" fontId="9" numFmtId="0" xfId="0" applyAlignment="1" applyBorder="1" applyFont="1">
      <alignment readingOrder="0" shrinkToFit="0" vertical="center" wrapText="0"/>
    </xf>
    <xf borderId="13" fillId="4" fontId="10" numFmtId="0" xfId="0" applyAlignment="1" applyBorder="1" applyFill="1" applyFont="1">
      <alignment horizontal="right" shrinkToFit="0" vertical="center" wrapText="0"/>
    </xf>
    <xf borderId="14" fillId="4" fontId="9" numFmtId="0" xfId="0" applyAlignment="1" applyBorder="1" applyFont="1">
      <alignment shrinkToFit="0" vertical="center" wrapText="0"/>
    </xf>
    <xf borderId="12" fillId="3" fontId="9" numFmtId="0" xfId="0" applyAlignment="1" applyBorder="1" applyFont="1">
      <alignment shrinkToFit="0" vertical="center" wrapText="0"/>
    </xf>
    <xf borderId="15" fillId="3" fontId="10" numFmtId="0" xfId="0" applyAlignment="1" applyBorder="1" applyFont="1">
      <alignment horizontal="right" shrinkToFit="0" vertical="center" wrapText="0"/>
    </xf>
    <xf borderId="16" fillId="3" fontId="9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3" fontId="11" numFmtId="0" xfId="0" applyAlignment="1" applyFont="1">
      <alignment vertical="bottom"/>
    </xf>
    <xf borderId="0" fillId="3" fontId="12" numFmtId="0" xfId="0" applyAlignment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4" xfId="0" applyAlignment="1" applyFont="1" applyNumberFormat="1">
      <alignment horizontal="center" readingOrder="0" shrinkToFit="0" vertical="bottom" wrapText="0"/>
    </xf>
    <xf borderId="0" fillId="0" fontId="11" numFmtId="4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7" fillId="5" fontId="15" numFmtId="0" xfId="0" applyAlignment="1" applyBorder="1" applyFill="1" applyFont="1">
      <alignment horizontal="center" readingOrder="0" vertical="center"/>
    </xf>
    <xf borderId="18" fillId="0" fontId="3" numFmtId="0" xfId="0" applyBorder="1" applyFont="1"/>
    <xf borderId="19" fillId="0" fontId="3" numFmtId="0" xfId="0" applyBorder="1" applyFont="1"/>
    <xf borderId="17" fillId="6" fontId="15" numFmtId="0" xfId="0" applyAlignment="1" applyBorder="1" applyFill="1" applyFont="1">
      <alignment horizontal="center" readingOrder="0" shrinkToFit="0" vertical="center" wrapText="1"/>
    </xf>
    <xf borderId="17" fillId="5" fontId="15" numFmtId="0" xfId="0" applyAlignment="1" applyBorder="1" applyFon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5" fontId="16" numFmtId="0" xfId="0" applyAlignment="1" applyFont="1">
      <alignment readingOrder="0" vertical="center"/>
    </xf>
    <xf borderId="20" fillId="5" fontId="15" numFmtId="0" xfId="0" applyAlignment="1" applyBorder="1" applyFont="1">
      <alignment horizontal="center" vertical="center"/>
    </xf>
    <xf borderId="20" fillId="5" fontId="15" numFmtId="0" xfId="0" applyAlignment="1" applyBorder="1" applyFont="1">
      <alignment horizontal="center" readingOrder="0" vertical="center"/>
    </xf>
    <xf borderId="20" fillId="5" fontId="15" numFmtId="0" xfId="0" applyAlignment="1" applyBorder="1" applyFont="1">
      <alignment horizontal="center" readingOrder="0" vertical="center"/>
    </xf>
    <xf borderId="20" fillId="5" fontId="15" numFmtId="0" xfId="0" applyAlignment="1" applyBorder="1" applyFont="1">
      <alignment horizontal="center" shrinkToFit="0" vertical="center" wrapText="1"/>
    </xf>
    <xf borderId="20" fillId="5" fontId="15" numFmtId="3" xfId="0" applyAlignment="1" applyBorder="1" applyFont="1" applyNumberFormat="1">
      <alignment horizontal="center" readingOrder="0" shrinkToFit="0" vertical="center" wrapText="1"/>
    </xf>
    <xf borderId="20" fillId="5" fontId="15" numFmtId="0" xfId="0" applyAlignment="1" applyBorder="1" applyFont="1">
      <alignment horizontal="center" readingOrder="0" shrinkToFit="0" vertical="center" wrapText="1"/>
    </xf>
    <xf borderId="20" fillId="5" fontId="15" numFmtId="3" xfId="0" applyAlignment="1" applyBorder="1" applyFont="1" applyNumberFormat="1">
      <alignment horizontal="center" shrinkToFit="0" vertical="center" wrapText="1"/>
    </xf>
    <xf borderId="20" fillId="6" fontId="15" numFmtId="0" xfId="0" applyAlignment="1" applyBorder="1" applyFont="1">
      <alignment horizontal="center" readingOrder="0" shrinkToFit="0" vertical="center" wrapText="1"/>
    </xf>
    <xf borderId="20" fillId="6" fontId="15" numFmtId="165" xfId="0" applyAlignment="1" applyBorder="1" applyFont="1" applyNumberFormat="1">
      <alignment horizontal="center" shrinkToFit="0" vertical="center" wrapText="1"/>
    </xf>
    <xf borderId="20" fillId="6" fontId="15" numFmtId="0" xfId="0" applyAlignment="1" applyBorder="1" applyFont="1">
      <alignment horizontal="center" shrinkToFit="0" vertical="center" wrapText="1"/>
    </xf>
    <xf borderId="20" fillId="0" fontId="17" numFmtId="0" xfId="0" applyAlignment="1" applyBorder="1" applyFont="1">
      <alignment readingOrder="0" vertical="center"/>
    </xf>
    <xf borderId="20" fillId="3" fontId="17" numFmtId="3" xfId="0" applyAlignment="1" applyBorder="1" applyFont="1" applyNumberFormat="1">
      <alignment vertical="center"/>
    </xf>
    <xf borderId="20" fillId="0" fontId="17" numFmtId="9" xfId="0" applyAlignment="1" applyBorder="1" applyFont="1" applyNumberFormat="1">
      <alignment horizontal="right" vertical="center"/>
    </xf>
    <xf borderId="20" fillId="3" fontId="9" numFmtId="3" xfId="0" applyAlignment="1" applyBorder="1" applyFont="1" applyNumberFormat="1">
      <alignment vertical="center"/>
    </xf>
    <xf borderId="20" fillId="3" fontId="9" numFmtId="3" xfId="0" applyAlignment="1" applyBorder="1" applyFont="1" applyNumberFormat="1">
      <alignment horizontal="center" vertical="center"/>
    </xf>
    <xf borderId="20" fillId="0" fontId="9" numFmtId="3" xfId="0" applyAlignment="1" applyBorder="1" applyFont="1" applyNumberFormat="1">
      <alignment horizontal="center" vertical="center"/>
    </xf>
    <xf borderId="20" fillId="3" fontId="9" numFmtId="0" xfId="0" applyAlignment="1" applyBorder="1" applyFont="1">
      <alignment vertical="center"/>
    </xf>
    <xf borderId="20" fillId="3" fontId="9" numFmtId="166" xfId="0" applyAlignment="1" applyBorder="1" applyFont="1" applyNumberFormat="1">
      <alignment horizontal="center" readingOrder="0" vertical="center"/>
    </xf>
    <xf borderId="20" fillId="3" fontId="9" numFmtId="9" xfId="0" applyAlignment="1" applyBorder="1" applyFont="1" applyNumberFormat="1">
      <alignment vertical="center"/>
    </xf>
    <xf borderId="20" fillId="0" fontId="9" numFmtId="0" xfId="0" applyAlignment="1" applyBorder="1" applyFont="1">
      <alignment vertical="center"/>
    </xf>
    <xf borderId="20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20" fillId="0" fontId="17" numFmtId="0" xfId="0" applyAlignment="1" applyBorder="1" applyFont="1">
      <alignment vertical="center"/>
    </xf>
    <xf borderId="20" fillId="0" fontId="17" numFmtId="0" xfId="0" applyAlignment="1" applyBorder="1" applyFont="1">
      <alignment horizontal="right" readingOrder="0" vertical="center"/>
    </xf>
    <xf borderId="20" fillId="3" fontId="9" numFmtId="3" xfId="0" applyAlignment="1" applyBorder="1" applyFont="1" applyNumberFormat="1">
      <alignment readingOrder="0" vertical="center"/>
    </xf>
    <xf borderId="20" fillId="3" fontId="9" numFmtId="3" xfId="0" applyAlignment="1" applyBorder="1" applyFont="1" applyNumberFormat="1">
      <alignment horizontal="center" readingOrder="0" vertical="center"/>
    </xf>
    <xf borderId="20" fillId="0" fontId="2" numFmtId="0" xfId="0" applyBorder="1" applyFont="1"/>
    <xf borderId="0" fillId="0" fontId="9" numFmtId="0" xfId="0" applyAlignment="1" applyFont="1">
      <alignment readingOrder="0" vertical="center"/>
    </xf>
    <xf borderId="20" fillId="3" fontId="9" numFmtId="0" xfId="0" applyAlignment="1" applyBorder="1" applyFont="1">
      <alignment readingOrder="0" vertical="center"/>
    </xf>
    <xf borderId="0" fillId="0" fontId="17" numFmtId="0" xfId="0" applyAlignment="1" applyFont="1">
      <alignment vertical="center"/>
    </xf>
    <xf borderId="0" fillId="3" fontId="18" numFmtId="0" xfId="0" applyAlignment="1" applyFont="1">
      <alignment horizontal="center" readingOrder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20" fillId="3" fontId="17" numFmtId="3" xfId="0" applyAlignment="1" applyBorder="1" applyFont="1" applyNumberFormat="1">
      <alignment readingOrder="0" vertical="center"/>
    </xf>
    <xf borderId="0" fillId="5" fontId="16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">
    <tableStyle count="4" pivot="0" name="PS Use Case Work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 Use Case Workshee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 Use Case Workshee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ream Overview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Stream Overview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Edge Overview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Edge Overview-style 2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46</xdr:row>
      <xdr:rowOff>190500</xdr:rowOff>
    </xdr:from>
    <xdr:ext cx="6743700" cy="9239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7" displayName="Table1_2" name="Table1_2" id="1">
  <tableColumns count="5">
    <tableColumn name="Item" id="1"/>
    <tableColumn name="_" id="2"/>
    <tableColumn name="Deliverable" id="3"/>
    <tableColumn name="Status" id="4"/>
    <tableColumn name="Notes" id="5"/>
  </tableColumns>
  <tableStyleInfo name="PS Use Case Worksheet-style" showColumnStripes="0" showFirstColumn="1" showLastColumn="1" showRowStripes="1"/>
</table>
</file>

<file path=xl/tables/table2.xml><?xml version="1.0" encoding="utf-8"?>
<table xmlns="http://schemas.openxmlformats.org/spreadsheetml/2006/main" ref="A10:B15" displayName="Table2_2" name="Table2_2" id="2">
  <tableColumns count="2">
    <tableColumn name="Use Case #" id="1"/>
    <tableColumn name="Use Case" id="2"/>
  </tableColumns>
  <tableStyleInfo name="PS Use Case Worksheet-style 2" showColumnStripes="0" showFirstColumn="1" showLastColumn="1" showRowStripes="1"/>
</table>
</file>

<file path=xl/tables/table3.xml><?xml version="1.0" encoding="utf-8"?>
<table xmlns="http://schemas.openxmlformats.org/spreadsheetml/2006/main" ref="A18:E46" displayName="Tracking_2" name="Tracking_2" id="3">
  <tableColumns count="5">
    <tableColumn name="Use Case" id="1"/>
    <tableColumn name="#" id="2"/>
    <tableColumn name="Parameters (Specific Logs/Tasks)" id="3"/>
    <tableColumn name="Status" id="4"/>
    <tableColumn name="Notes" id="5"/>
  </tableColumns>
  <tableStyleInfo name="PS Use Case Worksheet-style 3" showColumnStripes="0" showFirstColumn="1" showLastColumn="1" showRowStripes="1"/>
</table>
</file>

<file path=xl/tables/table4.xml><?xml version="1.0" encoding="utf-8"?>
<table xmlns="http://schemas.openxmlformats.org/spreadsheetml/2006/main" ref="A2:I14" displayName="SourcesVolumeCollection" name="SourcesVolumeCollection" id="4">
  <tableColumns count="9">
    <tableColumn name="Source" id="1"/>
    <tableColumn name="Daily Volume (GB/day)" id="2"/>
    <tableColumn name="Physical location(s)" id="3"/>
    <tableColumn name="Current Collection" id="4"/>
    <tableColumn name="Cribl Collection" id="5"/>
    <tableColumn name="WG" id="6"/>
    <tableColumn name="Use Case(s)" id="7"/>
    <tableColumn name="Destination(s)" id="8"/>
    <tableColumn name="Notes" id="9"/>
  </tableColumns>
  <tableStyleInfo name="Stream Overview-style" showColumnStripes="0" showFirstColumn="1" showLastColumn="1" showRowStripes="1"/>
</table>
</file>

<file path=xl/tables/table5.xml><?xml version="1.0" encoding="utf-8"?>
<table xmlns="http://schemas.openxmlformats.org/spreadsheetml/2006/main" ref="A16:H24" displayName="WGs" name="WGs" id="5">
  <tableColumns count="8">
    <tableColumn name="WG" id="1"/>
    <tableColumn name="Ingest (GB/day)" id="2"/>
    <tableColumn name="Egress (GB/Day)" id="3"/>
    <tableColumn name="Throughput (GB/Day)" id="4"/>
    <tableColumn name="Worker Hosting" id="5"/>
    <tableColumn name="Worker Count" id="6"/>
    <tableColumn name="Worker Detail" id="7"/>
    <tableColumn name="Disk Req'd For 1 Day Storage" id="8"/>
  </tableColumns>
  <tableStyleInfo name="Stream Overview-style 2" showColumnStripes="0" showFirstColumn="1" showLastColumn="1" showRowStripes="1"/>
</table>
</file>

<file path=xl/tables/table6.xml><?xml version="1.0" encoding="utf-8"?>
<table xmlns="http://schemas.openxmlformats.org/spreadsheetml/2006/main" ref="A2:I14" displayName="SourcesVolumeCollection_2" name="SourcesVolumeCollection_2" id="6">
  <tableColumns count="9">
    <tableColumn name="Source" id="1"/>
    <tableColumn name="Daily Volume (GB/day)" id="2"/>
    <tableColumn name="Physical location(s)" id="3"/>
    <tableColumn name="Current Collection" id="4"/>
    <tableColumn name="Cribl Collection" id="5"/>
    <tableColumn name="WG" id="6"/>
    <tableColumn name="Use Case(s)" id="7"/>
    <tableColumn name="Destination(s)" id="8"/>
    <tableColumn name="Notes" id="9"/>
  </tableColumns>
  <tableStyleInfo name="Edge Overview-style" showColumnStripes="0" showFirstColumn="1" showLastColumn="1" showRowStripes="1"/>
</table>
</file>

<file path=xl/tables/table7.xml><?xml version="1.0" encoding="utf-8"?>
<table xmlns="http://schemas.openxmlformats.org/spreadsheetml/2006/main" ref="A16:H24" displayName="FLs" name="FLs" id="7">
  <tableColumns count="8">
    <tableColumn name="FL" id="1"/>
    <tableColumn name="Ingest (GB/day)" id="2"/>
    <tableColumn name="Egress (GB/Day)" id="3"/>
    <tableColumn name="Throughput (GB/Day)" id="4"/>
    <tableColumn name="Worker Hosting" id="5"/>
    <tableColumn name="Worker Count" id="6"/>
    <tableColumn name="Worker Detail" id="7"/>
    <tableColumn name="Disk Req'd For 1 Day Storage" id="8"/>
  </tableColumns>
  <tableStyleInfo name="Edge Overvie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</cols>
  <sheetData>
    <row r="2">
      <c r="B2" s="1" t="s">
        <v>0</v>
      </c>
    </row>
    <row r="5">
      <c r="B5" s="2" t="s">
        <v>1</v>
      </c>
      <c r="C5" s="3"/>
      <c r="D5" s="3"/>
      <c r="E5" s="3"/>
      <c r="F5" s="3"/>
      <c r="G5" s="3"/>
      <c r="H5" s="3"/>
      <c r="I5" s="3"/>
      <c r="J5" s="3"/>
      <c r="K5" s="3"/>
      <c r="L5" s="4"/>
    </row>
    <row r="6">
      <c r="B6" s="5" t="s">
        <v>2</v>
      </c>
      <c r="L6" s="6"/>
    </row>
    <row r="7">
      <c r="B7" s="5" t="s">
        <v>3</v>
      </c>
      <c r="L7" s="6"/>
    </row>
    <row r="8">
      <c r="B8" s="7" t="s">
        <v>4</v>
      </c>
      <c r="C8" s="8"/>
      <c r="D8" s="8"/>
      <c r="E8" s="8"/>
      <c r="F8" s="8"/>
      <c r="G8" s="8"/>
      <c r="H8" s="8"/>
      <c r="I8" s="8"/>
      <c r="J8" s="8"/>
      <c r="K8" s="8"/>
      <c r="L8" s="9"/>
    </row>
  </sheetData>
  <mergeCells count="5">
    <mergeCell ref="B2:F3"/>
    <mergeCell ref="B5:L5"/>
    <mergeCell ref="B6:L6"/>
    <mergeCell ref="B7:L7"/>
    <mergeCell ref="B8:L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0.38"/>
    <col customWidth="1" min="3" max="3" width="31.13"/>
    <col customWidth="1" min="4" max="4" width="16.13"/>
    <col customWidth="1" min="5" max="5" width="59.0"/>
  </cols>
  <sheetData>
    <row r="1">
      <c r="A1" s="10" t="s">
        <v>5</v>
      </c>
    </row>
    <row r="2" ht="22.5" customHeight="1">
      <c r="A2" s="11" t="s">
        <v>6</v>
      </c>
      <c r="B2" s="12" t="s">
        <v>7</v>
      </c>
      <c r="C2" s="12" t="s">
        <v>8</v>
      </c>
      <c r="D2" s="11" t="s">
        <v>9</v>
      </c>
      <c r="E2" s="11" t="s">
        <v>10</v>
      </c>
    </row>
    <row r="3" ht="22.5" customHeight="1">
      <c r="A3" s="13" t="s">
        <v>11</v>
      </c>
      <c r="C3" s="14" t="s">
        <v>12</v>
      </c>
      <c r="D3" s="15" t="s">
        <v>13</v>
      </c>
    </row>
    <row r="4" ht="22.5" customHeight="1">
      <c r="A4" s="13" t="s">
        <v>14</v>
      </c>
      <c r="C4" s="14" t="s">
        <v>15</v>
      </c>
      <c r="D4" s="15" t="s">
        <v>13</v>
      </c>
    </row>
    <row r="5" ht="22.5" customHeight="1">
      <c r="A5" s="13" t="s">
        <v>16</v>
      </c>
      <c r="C5" s="14" t="s">
        <v>17</v>
      </c>
      <c r="D5" s="15" t="s">
        <v>13</v>
      </c>
    </row>
    <row r="6" ht="22.5" customHeight="1">
      <c r="A6" s="13" t="s">
        <v>18</v>
      </c>
      <c r="C6" s="14" t="s">
        <v>19</v>
      </c>
      <c r="D6" s="15" t="s">
        <v>13</v>
      </c>
    </row>
    <row r="7" ht="22.5" customHeight="1">
      <c r="A7" s="13" t="s">
        <v>20</v>
      </c>
      <c r="C7" s="14" t="s">
        <v>21</v>
      </c>
      <c r="D7" s="15" t="s">
        <v>13</v>
      </c>
    </row>
    <row r="8">
      <c r="A8" s="10"/>
      <c r="B8" s="10"/>
      <c r="C8" s="10"/>
      <c r="D8" s="10"/>
      <c r="E8" s="10"/>
    </row>
    <row r="9">
      <c r="A9" s="16" t="s">
        <v>22</v>
      </c>
    </row>
    <row r="10" ht="22.5" customHeight="1">
      <c r="A10" s="17" t="s">
        <v>23</v>
      </c>
      <c r="B10" s="18" t="s">
        <v>24</v>
      </c>
      <c r="C10" s="19"/>
      <c r="D10" s="19"/>
    </row>
    <row r="11" ht="22.5" customHeight="1">
      <c r="A11" s="20">
        <v>1.0</v>
      </c>
      <c r="B11" s="21"/>
      <c r="C11" s="19"/>
      <c r="D11" s="19"/>
    </row>
    <row r="12" ht="22.5" customHeight="1">
      <c r="A12" s="22">
        <v>2.0</v>
      </c>
      <c r="B12" s="23"/>
      <c r="C12" s="19"/>
      <c r="D12" s="19"/>
    </row>
    <row r="13" ht="22.5" customHeight="1">
      <c r="A13" s="20">
        <v>3.0</v>
      </c>
      <c r="B13" s="24"/>
      <c r="C13" s="19"/>
      <c r="D13" s="19"/>
    </row>
    <row r="14" ht="22.5" customHeight="1">
      <c r="A14" s="22">
        <v>4.0</v>
      </c>
      <c r="B14" s="23"/>
      <c r="C14" s="19"/>
      <c r="D14" s="19"/>
    </row>
    <row r="15" ht="22.5" customHeight="1">
      <c r="A15" s="25">
        <v>5.0</v>
      </c>
      <c r="B15" s="26"/>
      <c r="C15" s="19"/>
      <c r="D15" s="19"/>
    </row>
    <row r="17">
      <c r="A17" s="10" t="s">
        <v>25</v>
      </c>
    </row>
    <row r="18" ht="22.5" customHeight="1">
      <c r="A18" s="11" t="s">
        <v>24</v>
      </c>
      <c r="B18" s="11" t="s">
        <v>26</v>
      </c>
      <c r="C18" s="11" t="s">
        <v>27</v>
      </c>
      <c r="D18" s="11" t="s">
        <v>9</v>
      </c>
      <c r="E18" s="11" t="s">
        <v>10</v>
      </c>
    </row>
    <row r="19" ht="22.5" customHeight="1">
      <c r="A19" s="13" t="s">
        <v>28</v>
      </c>
      <c r="B19" s="27">
        <v>1.0</v>
      </c>
      <c r="D19" s="15" t="s">
        <v>13</v>
      </c>
    </row>
    <row r="20" ht="22.5" customHeight="1">
      <c r="A20" s="13" t="s">
        <v>29</v>
      </c>
      <c r="B20" s="27">
        <v>1.0</v>
      </c>
      <c r="D20" s="15" t="s">
        <v>13</v>
      </c>
    </row>
    <row r="21" ht="22.5" customHeight="1">
      <c r="A21" s="13" t="s">
        <v>30</v>
      </c>
      <c r="B21" s="27">
        <v>1.0</v>
      </c>
      <c r="D21" s="15" t="s">
        <v>13</v>
      </c>
    </row>
    <row r="22" ht="22.5" customHeight="1">
      <c r="A22" s="13" t="s">
        <v>31</v>
      </c>
      <c r="B22" s="27">
        <v>1.0</v>
      </c>
      <c r="D22" s="15" t="s">
        <v>13</v>
      </c>
    </row>
    <row r="23" ht="22.5" customHeight="1">
      <c r="B23" s="27">
        <v>2.0</v>
      </c>
      <c r="D23" s="15" t="s">
        <v>13</v>
      </c>
    </row>
    <row r="24" ht="22.5" customHeight="1">
      <c r="B24" s="27">
        <v>3.0</v>
      </c>
      <c r="D24" s="15" t="s">
        <v>13</v>
      </c>
    </row>
    <row r="25" ht="22.5" customHeight="1">
      <c r="B25" s="27">
        <v>4.0</v>
      </c>
      <c r="D25" s="15" t="s">
        <v>13</v>
      </c>
    </row>
    <row r="26" ht="22.5" customHeight="1">
      <c r="B26" s="27">
        <v>5.0</v>
      </c>
      <c r="D26" s="15" t="s">
        <v>13</v>
      </c>
    </row>
    <row r="27" ht="22.5" customHeight="1">
      <c r="A27" s="13" t="s">
        <v>32</v>
      </c>
      <c r="B27" s="27">
        <v>1.0</v>
      </c>
      <c r="D27" s="15" t="s">
        <v>13</v>
      </c>
    </row>
    <row r="28" ht="22.5" customHeight="1">
      <c r="B28" s="27">
        <v>2.0</v>
      </c>
      <c r="D28" s="15" t="s">
        <v>13</v>
      </c>
    </row>
    <row r="29" ht="22.5" customHeight="1">
      <c r="B29" s="27">
        <v>3.0</v>
      </c>
      <c r="D29" s="15" t="s">
        <v>13</v>
      </c>
    </row>
    <row r="30" ht="22.5" customHeight="1">
      <c r="B30" s="27">
        <v>4.0</v>
      </c>
      <c r="D30" s="15" t="s">
        <v>13</v>
      </c>
    </row>
    <row r="31" ht="22.5" customHeight="1">
      <c r="B31" s="27">
        <v>5.0</v>
      </c>
      <c r="D31" s="15" t="s">
        <v>13</v>
      </c>
    </row>
    <row r="32" ht="22.5" customHeight="1">
      <c r="A32" s="13" t="s">
        <v>33</v>
      </c>
      <c r="B32" s="27">
        <v>1.0</v>
      </c>
      <c r="D32" s="15" t="s">
        <v>13</v>
      </c>
    </row>
    <row r="33" ht="22.5" customHeight="1">
      <c r="B33" s="27">
        <v>2.0</v>
      </c>
      <c r="D33" s="15" t="s">
        <v>13</v>
      </c>
    </row>
    <row r="34" ht="22.5" customHeight="1">
      <c r="B34" s="27">
        <v>3.0</v>
      </c>
      <c r="D34" s="15" t="s">
        <v>13</v>
      </c>
    </row>
    <row r="35" ht="22.5" customHeight="1">
      <c r="B35" s="27">
        <v>4.0</v>
      </c>
      <c r="D35" s="15" t="s">
        <v>13</v>
      </c>
    </row>
    <row r="36" ht="22.5" customHeight="1">
      <c r="B36" s="27">
        <v>5.0</v>
      </c>
      <c r="D36" s="15" t="s">
        <v>13</v>
      </c>
    </row>
    <row r="37" ht="22.5" customHeight="1">
      <c r="A37" s="13" t="s">
        <v>34</v>
      </c>
      <c r="B37" s="27">
        <v>1.0</v>
      </c>
      <c r="D37" s="15" t="s">
        <v>13</v>
      </c>
    </row>
    <row r="38" ht="22.5" customHeight="1">
      <c r="B38" s="27">
        <v>2.0</v>
      </c>
      <c r="D38" s="15" t="s">
        <v>13</v>
      </c>
    </row>
    <row r="39" ht="22.5" customHeight="1">
      <c r="B39" s="27">
        <v>3.0</v>
      </c>
      <c r="D39" s="15" t="s">
        <v>13</v>
      </c>
    </row>
    <row r="40" ht="22.5" customHeight="1">
      <c r="B40" s="27">
        <v>4.0</v>
      </c>
      <c r="D40" s="15" t="s">
        <v>13</v>
      </c>
    </row>
    <row r="41" ht="22.5" customHeight="1">
      <c r="A41" s="14"/>
      <c r="B41" s="27">
        <v>5.0</v>
      </c>
      <c r="D41" s="15" t="s">
        <v>13</v>
      </c>
    </row>
    <row r="42" ht="22.5" customHeight="1">
      <c r="A42" s="13" t="s">
        <v>35</v>
      </c>
      <c r="B42" s="27">
        <v>1.0</v>
      </c>
      <c r="D42" s="15" t="s">
        <v>13</v>
      </c>
    </row>
    <row r="43" ht="22.5" customHeight="1">
      <c r="B43" s="27">
        <v>2.0</v>
      </c>
      <c r="D43" s="15" t="s">
        <v>13</v>
      </c>
    </row>
    <row r="44" ht="22.5" customHeight="1">
      <c r="B44" s="27">
        <v>3.0</v>
      </c>
      <c r="D44" s="15" t="s">
        <v>13</v>
      </c>
    </row>
    <row r="45" ht="22.5" customHeight="1">
      <c r="B45" s="27">
        <v>4.0</v>
      </c>
      <c r="D45" s="15" t="s">
        <v>13</v>
      </c>
    </row>
    <row r="46" ht="22.5" customHeight="1">
      <c r="B46" s="27">
        <v>5.0</v>
      </c>
      <c r="D46" s="15" t="s">
        <v>13</v>
      </c>
    </row>
    <row r="47">
      <c r="B47" s="28"/>
    </row>
    <row r="48">
      <c r="B48" s="28"/>
    </row>
    <row r="49">
      <c r="B49" s="28"/>
    </row>
    <row r="50">
      <c r="B50" s="28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</sheetData>
  <mergeCells count="3">
    <mergeCell ref="A1:E1"/>
    <mergeCell ref="A9:E9"/>
    <mergeCell ref="A17:E17"/>
  </mergeCells>
  <dataValidations>
    <dataValidation type="list" allowBlank="1" sqref="D19:D46">
      <formula1>"Not Started,In Progress,Pending Review,Complete"</formula1>
    </dataValidation>
    <dataValidation type="list" allowBlank="1" sqref="D3:D7">
      <formula1>"Not Started,In Progress,Pending Review,Complete"</formula1>
    </dataValidation>
    <dataValidation type="list" allowBlank="1" sqref="B11:B15">
      <formula1>"Data Onboarding,Advanced Data Onboarding,Data Archiving,Data Reduction,Logs to Metrics,Edge Deployment,Data Enrichment,Format Conversion,Data Routing,Cribl Search,Container Deployment,Other"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6.13"/>
    <col customWidth="1" min="3" max="3" width="18.88"/>
    <col customWidth="1" min="4" max="4" width="23.63"/>
    <col customWidth="1" min="5" max="5" width="19.25"/>
    <col customWidth="1" min="6" max="6" width="19.0"/>
    <col customWidth="1" min="7" max="7" width="14.75"/>
    <col customWidth="1" min="8" max="8" width="31.88"/>
    <col customWidth="1" min="9" max="9" width="16.13"/>
    <col customWidth="1" min="10" max="10" width="16.25"/>
  </cols>
  <sheetData>
    <row r="1" hidden="1">
      <c r="A1" s="29"/>
      <c r="B1" s="29"/>
      <c r="C1" s="30"/>
      <c r="D1" s="30" t="s">
        <v>36</v>
      </c>
      <c r="E1" s="29"/>
      <c r="F1" s="31"/>
      <c r="G1" s="32"/>
      <c r="H1" s="32"/>
      <c r="I1" s="32"/>
      <c r="J1" s="32"/>
    </row>
    <row r="2" ht="22.5" hidden="1" customHeight="1">
      <c r="A2" s="33" t="s">
        <v>37</v>
      </c>
      <c r="B2" s="34" t="s">
        <v>38</v>
      </c>
      <c r="C2" s="33" t="s">
        <v>39</v>
      </c>
      <c r="D2" s="34" t="s">
        <v>40</v>
      </c>
      <c r="E2" s="35" t="s">
        <v>41</v>
      </c>
      <c r="F2" s="33" t="s">
        <v>42</v>
      </c>
      <c r="G2" s="33" t="s">
        <v>43</v>
      </c>
      <c r="H2" s="33" t="s">
        <v>44</v>
      </c>
      <c r="I2" s="34" t="s">
        <v>10</v>
      </c>
    </row>
    <row r="3" ht="22.5" hidden="1" customHeight="1">
      <c r="A3" s="36"/>
      <c r="B3" s="37"/>
      <c r="C3" s="36"/>
      <c r="D3" s="36"/>
      <c r="F3" s="38"/>
      <c r="G3" s="39"/>
      <c r="H3" s="36"/>
      <c r="I3" s="39"/>
    </row>
    <row r="4" ht="22.5" hidden="1" customHeight="1">
      <c r="A4" s="36"/>
      <c r="B4" s="37"/>
      <c r="C4" s="36"/>
      <c r="D4" s="36"/>
      <c r="F4" s="38"/>
      <c r="G4" s="39"/>
      <c r="H4" s="39"/>
      <c r="I4" s="39"/>
    </row>
    <row r="5" ht="22.5" hidden="1" customHeight="1">
      <c r="A5" s="36"/>
      <c r="B5" s="37"/>
      <c r="C5" s="36"/>
      <c r="D5" s="36"/>
      <c r="F5" s="38"/>
      <c r="G5" s="39"/>
      <c r="H5" s="39"/>
      <c r="I5" s="40"/>
    </row>
    <row r="6" ht="22.5" hidden="1" customHeight="1">
      <c r="A6" s="36"/>
      <c r="B6" s="37"/>
      <c r="C6" s="36"/>
      <c r="D6" s="36"/>
      <c r="F6" s="38"/>
      <c r="G6" s="39"/>
      <c r="H6" s="39"/>
      <c r="I6" s="40"/>
    </row>
    <row r="7" ht="22.5" hidden="1" customHeight="1">
      <c r="A7" s="36"/>
      <c r="B7" s="37"/>
      <c r="C7" s="36"/>
      <c r="D7" s="36"/>
      <c r="F7" s="38"/>
      <c r="G7" s="39"/>
      <c r="H7" s="39"/>
      <c r="I7" s="40"/>
    </row>
    <row r="8" ht="22.5" hidden="1" customHeight="1">
      <c r="A8" s="36"/>
      <c r="B8" s="37"/>
      <c r="C8" s="36"/>
      <c r="D8" s="36"/>
      <c r="F8" s="38"/>
      <c r="G8" s="39"/>
      <c r="H8" s="39"/>
      <c r="I8" s="39"/>
    </row>
    <row r="9" ht="22.5" hidden="1" customHeight="1">
      <c r="A9" s="36"/>
      <c r="B9" s="37"/>
      <c r="C9" s="36"/>
      <c r="D9" s="36"/>
      <c r="F9" s="38"/>
      <c r="G9" s="39"/>
      <c r="H9" s="39"/>
      <c r="I9" s="39"/>
    </row>
    <row r="10" ht="22.5" hidden="1" customHeight="1">
      <c r="A10" s="36"/>
      <c r="B10" s="37"/>
      <c r="C10" s="36"/>
      <c r="D10" s="36"/>
      <c r="F10" s="38"/>
      <c r="G10" s="39"/>
      <c r="H10" s="39"/>
      <c r="I10" s="39"/>
    </row>
    <row r="11" ht="22.5" hidden="1" customHeight="1">
      <c r="A11" s="36"/>
      <c r="B11" s="37"/>
      <c r="C11" s="36"/>
      <c r="D11" s="36"/>
      <c r="F11" s="38"/>
      <c r="G11" s="39"/>
      <c r="H11" s="39"/>
      <c r="I11" s="39"/>
    </row>
    <row r="12" ht="22.5" hidden="1" customHeight="1">
      <c r="A12" s="36"/>
      <c r="B12" s="37"/>
      <c r="C12" s="36"/>
      <c r="D12" s="36"/>
      <c r="F12" s="38"/>
      <c r="G12" s="39"/>
      <c r="H12" s="39"/>
      <c r="I12" s="39"/>
    </row>
    <row r="13" ht="22.5" hidden="1" customHeight="1">
      <c r="A13" s="36"/>
      <c r="B13" s="37"/>
      <c r="C13" s="36"/>
      <c r="D13" s="36"/>
      <c r="F13" s="38"/>
      <c r="G13" s="39"/>
      <c r="H13" s="39"/>
      <c r="I13" s="39"/>
    </row>
    <row r="14" ht="22.5" hidden="1" customHeight="1">
      <c r="A14" s="36"/>
      <c r="B14" s="37"/>
      <c r="C14" s="36"/>
      <c r="D14" s="36"/>
      <c r="F14" s="38"/>
      <c r="G14" s="39"/>
      <c r="H14" s="39"/>
      <c r="I14" s="39"/>
    </row>
    <row r="15">
      <c r="A15" s="32"/>
      <c r="B15" s="32"/>
      <c r="C15" s="32"/>
      <c r="D15" s="30" t="s">
        <v>45</v>
      </c>
      <c r="E15" s="32"/>
      <c r="F15" s="31"/>
      <c r="G15" s="32"/>
      <c r="H15" s="32"/>
      <c r="I15" s="32"/>
      <c r="J15" s="32"/>
    </row>
    <row r="16" ht="22.5" customHeight="1">
      <c r="A16" s="33" t="s">
        <v>42</v>
      </c>
      <c r="B16" s="33" t="s">
        <v>46</v>
      </c>
      <c r="C16" s="33" t="s">
        <v>47</v>
      </c>
      <c r="D16" s="33" t="s">
        <v>48</v>
      </c>
      <c r="E16" s="33" t="s">
        <v>49</v>
      </c>
      <c r="F16" s="33" t="s">
        <v>50</v>
      </c>
      <c r="G16" s="33" t="s">
        <v>51</v>
      </c>
      <c r="H16" s="33" t="s">
        <v>52</v>
      </c>
    </row>
    <row r="17" ht="22.5" customHeight="1">
      <c r="A17" s="41"/>
      <c r="B17" s="42"/>
      <c r="C17" s="42"/>
      <c r="D17" s="43">
        <f t="shared" ref="D17:D24" si="1">B17+C17</f>
        <v>0</v>
      </c>
      <c r="E17" s="36"/>
      <c r="F17" s="44"/>
      <c r="G17" s="36"/>
      <c r="H17" s="43">
        <f t="shared" ref="H17:H24" si="2">C17/8</f>
        <v>0</v>
      </c>
    </row>
    <row r="18" ht="22.5" customHeight="1">
      <c r="A18" s="41"/>
      <c r="B18" s="43"/>
      <c r="C18" s="43"/>
      <c r="D18" s="43">
        <f t="shared" si="1"/>
        <v>0</v>
      </c>
      <c r="E18" s="36"/>
      <c r="F18" s="44"/>
      <c r="G18" s="36"/>
      <c r="H18" s="43">
        <f t="shared" si="2"/>
        <v>0</v>
      </c>
    </row>
    <row r="19" ht="22.5" customHeight="1">
      <c r="A19" s="41"/>
      <c r="B19" s="42"/>
      <c r="C19" s="42"/>
      <c r="D19" s="43">
        <f t="shared" si="1"/>
        <v>0</v>
      </c>
      <c r="E19" s="36"/>
      <c r="F19" s="44"/>
      <c r="G19" s="36"/>
      <c r="H19" s="43">
        <f t="shared" si="2"/>
        <v>0</v>
      </c>
    </row>
    <row r="20" ht="22.5" customHeight="1">
      <c r="A20" s="41"/>
      <c r="B20" s="43"/>
      <c r="C20" s="43"/>
      <c r="D20" s="43">
        <f t="shared" si="1"/>
        <v>0</v>
      </c>
      <c r="E20" s="36"/>
      <c r="F20" s="44"/>
      <c r="G20" s="36"/>
      <c r="H20" s="43">
        <f t="shared" si="2"/>
        <v>0</v>
      </c>
    </row>
    <row r="21" ht="22.5" customHeight="1">
      <c r="A21" s="41"/>
      <c r="B21" s="42"/>
      <c r="C21" s="43"/>
      <c r="D21" s="43">
        <f t="shared" si="1"/>
        <v>0</v>
      </c>
      <c r="E21" s="36"/>
      <c r="F21" s="44"/>
      <c r="G21" s="36"/>
      <c r="H21" s="43">
        <f t="shared" si="2"/>
        <v>0</v>
      </c>
    </row>
    <row r="22" ht="22.5" customHeight="1">
      <c r="A22" s="38"/>
      <c r="B22" s="43"/>
      <c r="C22" s="43"/>
      <c r="D22" s="43">
        <f t="shared" si="1"/>
        <v>0</v>
      </c>
      <c r="E22" s="36"/>
      <c r="F22" s="44"/>
      <c r="G22" s="36"/>
      <c r="H22" s="43">
        <f t="shared" si="2"/>
        <v>0</v>
      </c>
    </row>
    <row r="23" ht="22.5" customHeight="1">
      <c r="A23" s="38"/>
      <c r="B23" s="43"/>
      <c r="C23" s="43"/>
      <c r="D23" s="43">
        <f t="shared" si="1"/>
        <v>0</v>
      </c>
      <c r="E23" s="36"/>
      <c r="F23" s="44"/>
      <c r="G23" s="36"/>
      <c r="H23" s="43">
        <f t="shared" si="2"/>
        <v>0</v>
      </c>
    </row>
    <row r="24" ht="22.5" customHeight="1">
      <c r="A24" s="38"/>
      <c r="B24" s="43"/>
      <c r="C24" s="43"/>
      <c r="D24" s="43">
        <f t="shared" si="1"/>
        <v>0</v>
      </c>
      <c r="E24" s="36"/>
      <c r="F24" s="44"/>
      <c r="G24" s="36"/>
      <c r="H24" s="43">
        <f t="shared" si="2"/>
        <v>0</v>
      </c>
    </row>
    <row r="33">
      <c r="D33" s="45"/>
    </row>
  </sheetData>
  <dataValidations>
    <dataValidation type="list" allowBlank="1" sqref="A17:A24">
      <formula1>"default,defaultHybrid"</formula1>
    </dataValidation>
    <dataValidation type="list" allowBlank="1" sqref="F3:F14">
      <formula1>"Option 1,Option 2"</formula1>
    </dataValidation>
    <dataValidation type="custom" allowBlank="1" showDropDown="1" sqref="B3:B14 B17:D24 F17:F24 H17:H24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53.25"/>
    <col customWidth="1" min="2" max="2" width="19.38" outlineLevel="1"/>
    <col customWidth="1" min="3" max="3" width="18.63" outlineLevel="1"/>
    <col customWidth="1" min="4" max="4" width="15.25" outlineLevel="1"/>
    <col customWidth="1" min="5" max="5" width="13.75"/>
    <col collapsed="1" customWidth="1" min="6" max="6" width="11.75"/>
    <col customWidth="1" min="7" max="7" width="14.75" outlineLevel="1"/>
    <col customWidth="1" min="8" max="9" width="32.13" outlineLevel="1"/>
    <col customWidth="1" min="10" max="10" width="11.75" outlineLevel="1"/>
    <col customWidth="1" min="11" max="11" width="10.63"/>
    <col min="12" max="14" width="12.63" outlineLevel="1"/>
    <col customWidth="1" min="15" max="15" width="10.75"/>
    <col customWidth="1" min="16" max="18" width="18.88" outlineLevel="1"/>
    <col customWidth="1" min="19" max="21" width="15.13" outlineLevel="1"/>
    <col min="22" max="22" width="12.63" outlineLevel="1"/>
    <col customWidth="1" min="23" max="23" width="30.63"/>
    <col customWidth="1" min="24" max="27" width="30.63" outlineLevel="1"/>
    <col customWidth="1" min="28" max="29" width="19.5"/>
    <col customWidth="1" min="30" max="30" width="28.13"/>
    <col customWidth="1" min="31" max="31" width="100.13"/>
  </cols>
  <sheetData>
    <row r="1">
      <c r="B1" s="46" t="s">
        <v>53</v>
      </c>
      <c r="E1" s="47" t="s">
        <v>54</v>
      </c>
      <c r="F1" s="48"/>
      <c r="G1" s="48"/>
      <c r="H1" s="48"/>
      <c r="I1" s="48"/>
      <c r="J1" s="49"/>
      <c r="K1" s="47" t="s">
        <v>55</v>
      </c>
      <c r="L1" s="48"/>
      <c r="M1" s="48"/>
      <c r="N1" s="49"/>
      <c r="O1" s="50" t="s">
        <v>56</v>
      </c>
      <c r="P1" s="48"/>
      <c r="Q1" s="48"/>
      <c r="R1" s="48"/>
      <c r="S1" s="48"/>
      <c r="T1" s="48"/>
      <c r="U1" s="48"/>
      <c r="V1" s="49"/>
      <c r="W1" s="51" t="s">
        <v>57</v>
      </c>
      <c r="X1" s="48"/>
      <c r="Y1" s="48"/>
      <c r="Z1" s="48"/>
      <c r="AA1" s="48"/>
      <c r="AB1" s="52"/>
      <c r="AC1" s="52"/>
      <c r="AD1" s="53"/>
      <c r="AE1" s="54"/>
    </row>
    <row r="2">
      <c r="A2" s="55" t="s">
        <v>37</v>
      </c>
      <c r="B2" s="56" t="s">
        <v>39</v>
      </c>
      <c r="C2" s="57" t="s">
        <v>40</v>
      </c>
      <c r="D2" s="57" t="s">
        <v>58</v>
      </c>
      <c r="E2" s="58" t="s">
        <v>59</v>
      </c>
      <c r="F2" s="59" t="s">
        <v>60</v>
      </c>
      <c r="G2" s="59" t="s">
        <v>61</v>
      </c>
      <c r="H2" s="60" t="s">
        <v>62</v>
      </c>
      <c r="I2" s="60" t="s">
        <v>63</v>
      </c>
      <c r="J2" s="60" t="s">
        <v>64</v>
      </c>
      <c r="K2" s="61" t="s">
        <v>65</v>
      </c>
      <c r="L2" s="62" t="s">
        <v>66</v>
      </c>
      <c r="M2" s="62" t="s">
        <v>67</v>
      </c>
      <c r="N2" s="62" t="s">
        <v>68</v>
      </c>
      <c r="O2" s="62" t="s">
        <v>69</v>
      </c>
      <c r="P2" s="63" t="s">
        <v>70</v>
      </c>
      <c r="Q2" s="63" t="s">
        <v>71</v>
      </c>
      <c r="R2" s="63" t="s">
        <v>72</v>
      </c>
      <c r="S2" s="62" t="s">
        <v>73</v>
      </c>
      <c r="T2" s="62" t="s">
        <v>74</v>
      </c>
      <c r="U2" s="64" t="s">
        <v>75</v>
      </c>
      <c r="V2" s="64" t="s">
        <v>76</v>
      </c>
      <c r="W2" s="60" t="s">
        <v>77</v>
      </c>
      <c r="X2" s="60" t="s">
        <v>78</v>
      </c>
      <c r="Y2" s="60" t="s">
        <v>79</v>
      </c>
      <c r="Z2" s="60" t="s">
        <v>80</v>
      </c>
      <c r="AA2" s="60" t="s">
        <v>81</v>
      </c>
      <c r="AB2" s="60" t="s">
        <v>82</v>
      </c>
      <c r="AC2" s="60" t="s">
        <v>83</v>
      </c>
      <c r="AD2" s="60" t="s">
        <v>84</v>
      </c>
      <c r="AE2" s="54" t="s">
        <v>85</v>
      </c>
    </row>
    <row r="3">
      <c r="A3" s="65"/>
      <c r="B3" s="65"/>
      <c r="C3" s="65"/>
      <c r="D3" s="65"/>
      <c r="E3" s="66"/>
      <c r="F3" s="67"/>
      <c r="G3" s="67"/>
      <c r="H3" s="68"/>
      <c r="I3" s="68"/>
      <c r="J3" s="69"/>
      <c r="K3" s="70"/>
      <c r="L3" s="71" t="b">
        <v>0</v>
      </c>
      <c r="M3" s="71"/>
      <c r="N3" s="71"/>
      <c r="O3" s="68" t="b">
        <v>0</v>
      </c>
      <c r="P3" s="72"/>
      <c r="Q3" s="72"/>
      <c r="R3" s="72"/>
      <c r="S3" s="73"/>
      <c r="T3" s="73"/>
      <c r="U3" s="73"/>
      <c r="V3" s="68"/>
      <c r="W3" s="74"/>
      <c r="X3" s="74"/>
      <c r="Y3" s="74"/>
      <c r="Z3" s="75"/>
      <c r="AA3" s="75"/>
      <c r="AB3" s="74"/>
      <c r="AC3" s="74"/>
      <c r="AD3" s="74"/>
      <c r="AE3" s="76"/>
    </row>
    <row r="4">
      <c r="A4" s="77"/>
      <c r="B4" s="77"/>
      <c r="C4" s="77"/>
      <c r="D4" s="77"/>
      <c r="E4" s="66"/>
      <c r="F4" s="78"/>
      <c r="G4" s="78"/>
      <c r="H4" s="79"/>
      <c r="I4" s="79"/>
      <c r="J4" s="80"/>
      <c r="K4" s="70"/>
      <c r="L4" s="71" t="b">
        <v>0</v>
      </c>
      <c r="M4" s="71"/>
      <c r="N4" s="71"/>
      <c r="O4" s="79" t="b">
        <v>0</v>
      </c>
      <c r="P4" s="81"/>
      <c r="Q4" s="81"/>
      <c r="R4" s="72"/>
      <c r="S4" s="73"/>
      <c r="T4" s="73"/>
      <c r="U4" s="73"/>
      <c r="V4" s="68"/>
      <c r="W4" s="74"/>
      <c r="X4" s="74"/>
      <c r="Y4" s="74"/>
      <c r="Z4" s="74"/>
      <c r="AA4" s="74"/>
      <c r="AB4" s="74"/>
      <c r="AC4" s="74"/>
      <c r="AD4" s="74"/>
      <c r="AE4" s="76"/>
    </row>
    <row r="5">
      <c r="A5" s="77"/>
      <c r="B5" s="77"/>
      <c r="C5" s="77"/>
      <c r="D5" s="77"/>
      <c r="E5" s="66"/>
      <c r="F5" s="78"/>
      <c r="G5" s="78"/>
      <c r="H5" s="79"/>
      <c r="I5" s="79"/>
      <c r="J5" s="80"/>
      <c r="K5" s="70"/>
      <c r="L5" s="71" t="b">
        <v>0</v>
      </c>
      <c r="M5" s="71"/>
      <c r="N5" s="71"/>
      <c r="O5" s="79" t="b">
        <v>0</v>
      </c>
      <c r="P5" s="72"/>
      <c r="Q5" s="72"/>
      <c r="R5" s="72"/>
      <c r="S5" s="73"/>
      <c r="T5" s="73"/>
      <c r="U5" s="73"/>
      <c r="V5" s="68"/>
      <c r="W5" s="74"/>
      <c r="X5" s="74"/>
      <c r="Y5" s="74"/>
      <c r="Z5" s="74"/>
      <c r="AA5" s="74"/>
      <c r="AB5" s="74"/>
      <c r="AC5" s="74"/>
      <c r="AD5" s="74"/>
      <c r="AE5" s="82"/>
    </row>
    <row r="6">
      <c r="A6" s="77"/>
      <c r="B6" s="77"/>
      <c r="C6" s="77"/>
      <c r="D6" s="77"/>
      <c r="E6" s="66"/>
      <c r="F6" s="78"/>
      <c r="G6" s="78"/>
      <c r="H6" s="79"/>
      <c r="I6" s="79"/>
      <c r="J6" s="80"/>
      <c r="K6" s="70"/>
      <c r="L6" s="71" t="b">
        <v>0</v>
      </c>
      <c r="M6" s="71"/>
      <c r="N6" s="71"/>
      <c r="O6" s="79" t="b">
        <v>0</v>
      </c>
      <c r="P6" s="72"/>
      <c r="Q6" s="72"/>
      <c r="R6" s="72"/>
      <c r="S6" s="73"/>
      <c r="T6" s="73"/>
      <c r="U6" s="73"/>
      <c r="V6" s="68"/>
      <c r="W6" s="74"/>
      <c r="X6" s="74"/>
      <c r="Y6" s="74"/>
      <c r="Z6" s="74"/>
      <c r="AA6" s="74"/>
      <c r="AB6" s="74"/>
      <c r="AC6" s="74"/>
      <c r="AD6" s="74"/>
      <c r="AE6" s="76"/>
    </row>
    <row r="7">
      <c r="A7" s="77"/>
      <c r="B7" s="77"/>
      <c r="C7" s="77"/>
      <c r="D7" s="77"/>
      <c r="E7" s="66"/>
      <c r="F7" s="78"/>
      <c r="G7" s="78"/>
      <c r="H7" s="79"/>
      <c r="I7" s="79"/>
      <c r="J7" s="80"/>
      <c r="K7" s="70"/>
      <c r="L7" s="71" t="b">
        <v>0</v>
      </c>
      <c r="M7" s="71"/>
      <c r="N7" s="71"/>
      <c r="O7" s="79" t="b">
        <v>0</v>
      </c>
      <c r="P7" s="72"/>
      <c r="Q7" s="72"/>
      <c r="R7" s="72"/>
      <c r="S7" s="73"/>
      <c r="T7" s="73"/>
      <c r="U7" s="73"/>
      <c r="V7" s="68"/>
      <c r="W7" s="74"/>
      <c r="X7" s="74"/>
      <c r="Y7" s="74"/>
      <c r="Z7" s="74"/>
      <c r="AA7" s="74"/>
      <c r="AB7" s="74"/>
      <c r="AC7" s="74"/>
      <c r="AD7" s="74"/>
      <c r="AE7" s="76"/>
    </row>
    <row r="8">
      <c r="A8" s="77"/>
      <c r="B8" s="77"/>
      <c r="C8" s="77"/>
      <c r="D8" s="77"/>
      <c r="E8" s="66"/>
      <c r="F8" s="78"/>
      <c r="G8" s="78"/>
      <c r="H8" s="79"/>
      <c r="I8" s="79"/>
      <c r="J8" s="69"/>
      <c r="K8" s="70"/>
      <c r="L8" s="71" t="b">
        <v>0</v>
      </c>
      <c r="M8" s="71"/>
      <c r="N8" s="71"/>
      <c r="O8" s="79" t="b">
        <v>0</v>
      </c>
      <c r="P8" s="81"/>
      <c r="Q8" s="81"/>
      <c r="R8" s="72"/>
      <c r="S8" s="73"/>
      <c r="T8" s="73"/>
      <c r="U8" s="73"/>
      <c r="V8" s="68"/>
      <c r="W8" s="74"/>
      <c r="X8" s="74"/>
      <c r="Y8" s="74"/>
      <c r="Z8" s="74"/>
      <c r="AA8" s="74"/>
      <c r="AB8" s="74"/>
      <c r="AC8" s="74"/>
      <c r="AD8" s="74"/>
      <c r="AE8" s="76"/>
    </row>
    <row r="9">
      <c r="A9" s="77"/>
      <c r="B9" s="77"/>
      <c r="C9" s="77"/>
      <c r="D9" s="77"/>
      <c r="E9" s="66"/>
      <c r="F9" s="78"/>
      <c r="G9" s="78"/>
      <c r="H9" s="68"/>
      <c r="I9" s="68"/>
      <c r="J9" s="69"/>
      <c r="K9" s="70"/>
      <c r="L9" s="83" t="b">
        <v>0</v>
      </c>
      <c r="M9" s="83"/>
      <c r="N9" s="71"/>
      <c r="O9" s="79" t="b">
        <v>0</v>
      </c>
      <c r="P9" s="72"/>
      <c r="Q9" s="72"/>
      <c r="R9" s="72"/>
      <c r="S9" s="73"/>
      <c r="T9" s="73"/>
      <c r="U9" s="73"/>
      <c r="V9" s="68"/>
      <c r="W9" s="74"/>
      <c r="X9" s="74"/>
      <c r="Y9" s="74"/>
      <c r="Z9" s="74"/>
      <c r="AA9" s="74"/>
      <c r="AB9" s="74"/>
      <c r="AC9" s="74"/>
      <c r="AD9" s="74"/>
      <c r="AE9" s="84"/>
    </row>
    <row r="10">
      <c r="A10" s="77"/>
      <c r="B10" s="77"/>
      <c r="C10" s="77"/>
      <c r="D10" s="77"/>
      <c r="E10" s="66"/>
      <c r="F10" s="78"/>
      <c r="G10" s="78"/>
      <c r="H10" s="68"/>
      <c r="I10" s="68"/>
      <c r="J10" s="69"/>
      <c r="K10" s="70"/>
      <c r="L10" s="71" t="b">
        <v>0</v>
      </c>
      <c r="M10" s="71"/>
      <c r="N10" s="71"/>
      <c r="O10" s="68" t="b">
        <v>0</v>
      </c>
      <c r="P10" s="72"/>
      <c r="Q10" s="72"/>
      <c r="R10" s="72"/>
      <c r="S10" s="73"/>
      <c r="T10" s="73"/>
      <c r="U10" s="73"/>
      <c r="V10" s="68"/>
      <c r="W10" s="74"/>
      <c r="X10" s="74"/>
      <c r="Y10" s="74"/>
      <c r="Z10" s="74"/>
      <c r="AA10" s="74"/>
      <c r="AB10" s="74"/>
      <c r="AC10" s="74"/>
      <c r="AD10" s="74"/>
      <c r="AE10" s="76"/>
    </row>
    <row r="11">
      <c r="A11" s="77"/>
      <c r="B11" s="77"/>
      <c r="C11" s="77"/>
      <c r="D11" s="77"/>
      <c r="E11" s="66"/>
      <c r="F11" s="78"/>
      <c r="G11" s="78"/>
      <c r="H11" s="68"/>
      <c r="I11" s="68"/>
      <c r="J11" s="69"/>
      <c r="K11" s="70"/>
      <c r="L11" s="71" t="b">
        <v>0</v>
      </c>
      <c r="M11" s="71"/>
      <c r="N11" s="71"/>
      <c r="O11" s="68" t="b">
        <v>0</v>
      </c>
      <c r="P11" s="72"/>
      <c r="Q11" s="72"/>
      <c r="R11" s="72"/>
      <c r="S11" s="73"/>
      <c r="T11" s="73"/>
      <c r="U11" s="73"/>
      <c r="V11" s="68"/>
      <c r="W11" s="74"/>
      <c r="X11" s="74"/>
      <c r="Y11" s="74"/>
      <c r="Z11" s="74"/>
      <c r="AA11" s="74"/>
      <c r="AB11" s="74"/>
      <c r="AC11" s="74"/>
      <c r="AD11" s="74"/>
      <c r="AE11" s="76"/>
    </row>
    <row r="12">
      <c r="A12" s="77"/>
      <c r="B12" s="77"/>
      <c r="C12" s="77"/>
      <c r="D12" s="77"/>
      <c r="E12" s="66"/>
      <c r="F12" s="78"/>
      <c r="G12" s="78"/>
      <c r="H12" s="68"/>
      <c r="I12" s="68"/>
      <c r="J12" s="69"/>
      <c r="K12" s="70"/>
      <c r="L12" s="71" t="b">
        <v>0</v>
      </c>
      <c r="M12" s="71"/>
      <c r="N12" s="71"/>
      <c r="O12" s="68" t="b">
        <v>0</v>
      </c>
      <c r="P12" s="72"/>
      <c r="Q12" s="72"/>
      <c r="R12" s="72"/>
      <c r="S12" s="73"/>
      <c r="T12" s="73"/>
      <c r="U12" s="73"/>
      <c r="V12" s="68"/>
      <c r="W12" s="74"/>
      <c r="X12" s="74"/>
      <c r="Y12" s="74"/>
      <c r="Z12" s="74"/>
      <c r="AA12" s="74"/>
      <c r="AB12" s="74"/>
      <c r="AC12" s="74"/>
      <c r="AD12" s="74"/>
      <c r="AE12" s="76"/>
    </row>
    <row r="13">
      <c r="A13" s="77"/>
      <c r="B13" s="77"/>
      <c r="C13" s="77"/>
      <c r="D13" s="77"/>
      <c r="E13" s="66"/>
      <c r="F13" s="78"/>
      <c r="G13" s="78"/>
      <c r="H13" s="68"/>
      <c r="I13" s="68"/>
      <c r="J13" s="69"/>
      <c r="K13" s="70"/>
      <c r="L13" s="71" t="b">
        <v>0</v>
      </c>
      <c r="M13" s="71"/>
      <c r="N13" s="71"/>
      <c r="O13" s="68" t="b">
        <v>0</v>
      </c>
      <c r="P13" s="72"/>
      <c r="Q13" s="72"/>
      <c r="R13" s="72"/>
      <c r="S13" s="73"/>
      <c r="T13" s="73"/>
      <c r="U13" s="73"/>
      <c r="V13" s="68"/>
      <c r="W13" s="74"/>
      <c r="X13" s="74"/>
      <c r="Y13" s="74"/>
      <c r="Z13" s="74"/>
      <c r="AA13" s="74"/>
      <c r="AB13" s="74"/>
      <c r="AC13" s="74"/>
      <c r="AD13" s="74"/>
      <c r="AE13" s="76"/>
    </row>
    <row r="14">
      <c r="A14" s="77"/>
      <c r="B14" s="77"/>
      <c r="C14" s="77"/>
      <c r="D14" s="77"/>
      <c r="E14" s="66"/>
      <c r="F14" s="78"/>
      <c r="G14" s="78"/>
      <c r="H14" s="68"/>
      <c r="I14" s="68"/>
      <c r="J14" s="69"/>
      <c r="K14" s="70"/>
      <c r="L14" s="71" t="b">
        <v>0</v>
      </c>
      <c r="M14" s="71"/>
      <c r="N14" s="71"/>
      <c r="O14" s="68" t="b">
        <v>0</v>
      </c>
      <c r="P14" s="72"/>
      <c r="Q14" s="72"/>
      <c r="R14" s="72"/>
      <c r="S14" s="73"/>
      <c r="T14" s="73"/>
      <c r="U14" s="73"/>
      <c r="V14" s="68"/>
      <c r="W14" s="74"/>
      <c r="X14" s="74"/>
      <c r="Y14" s="74"/>
      <c r="Z14" s="74"/>
      <c r="AA14" s="74"/>
      <c r="AB14" s="74"/>
      <c r="AC14" s="74"/>
      <c r="AD14" s="74"/>
      <c r="AE14" s="76"/>
    </row>
    <row r="15">
      <c r="A15" s="77"/>
      <c r="B15" s="77"/>
      <c r="C15" s="77"/>
      <c r="D15" s="77"/>
      <c r="E15" s="66"/>
      <c r="F15" s="78"/>
      <c r="G15" s="78"/>
      <c r="H15" s="68"/>
      <c r="I15" s="68"/>
      <c r="J15" s="69"/>
      <c r="K15" s="70"/>
      <c r="L15" s="71" t="b">
        <v>0</v>
      </c>
      <c r="M15" s="71"/>
      <c r="N15" s="71"/>
      <c r="O15" s="68" t="b">
        <v>0</v>
      </c>
      <c r="P15" s="72"/>
      <c r="Q15" s="72"/>
      <c r="R15" s="72"/>
      <c r="S15" s="73"/>
      <c r="T15" s="73"/>
      <c r="U15" s="73"/>
      <c r="V15" s="68"/>
      <c r="W15" s="74"/>
      <c r="X15" s="74"/>
      <c r="Y15" s="74"/>
      <c r="Z15" s="74"/>
      <c r="AA15" s="74"/>
      <c r="AB15" s="74"/>
      <c r="AC15" s="74"/>
      <c r="AD15" s="74"/>
      <c r="AE15" s="76"/>
    </row>
    <row r="16">
      <c r="A16" s="77"/>
      <c r="B16" s="77"/>
      <c r="C16" s="77"/>
      <c r="D16" s="77"/>
      <c r="E16" s="66"/>
      <c r="F16" s="78"/>
      <c r="G16" s="78"/>
      <c r="H16" s="68"/>
      <c r="I16" s="68"/>
      <c r="J16" s="69"/>
      <c r="K16" s="70"/>
      <c r="L16" s="71" t="b">
        <v>0</v>
      </c>
      <c r="M16" s="71"/>
      <c r="N16" s="71"/>
      <c r="O16" s="68" t="b">
        <v>0</v>
      </c>
      <c r="P16" s="72"/>
      <c r="Q16" s="72"/>
      <c r="R16" s="72"/>
      <c r="S16" s="73"/>
      <c r="T16" s="73"/>
      <c r="U16" s="73"/>
      <c r="V16" s="68"/>
      <c r="W16" s="74"/>
      <c r="X16" s="74"/>
      <c r="Y16" s="74"/>
      <c r="Z16" s="74"/>
      <c r="AA16" s="74"/>
      <c r="AB16" s="74"/>
      <c r="AC16" s="74"/>
      <c r="AD16" s="74"/>
      <c r="AE16" s="76"/>
    </row>
    <row r="17">
      <c r="A17" s="77"/>
      <c r="B17" s="77"/>
      <c r="C17" s="77"/>
      <c r="D17" s="77"/>
      <c r="E17" s="66"/>
      <c r="F17" s="78"/>
      <c r="G17" s="78"/>
      <c r="H17" s="68"/>
      <c r="I17" s="68"/>
      <c r="J17" s="69"/>
      <c r="K17" s="70"/>
      <c r="L17" s="71" t="b">
        <v>0</v>
      </c>
      <c r="M17" s="71"/>
      <c r="N17" s="71"/>
      <c r="O17" s="68" t="b">
        <v>0</v>
      </c>
      <c r="P17" s="72"/>
      <c r="Q17" s="72"/>
      <c r="R17" s="72"/>
      <c r="S17" s="73"/>
      <c r="T17" s="73"/>
      <c r="U17" s="73"/>
      <c r="V17" s="68"/>
      <c r="W17" s="74"/>
      <c r="X17" s="74"/>
      <c r="Y17" s="74"/>
      <c r="Z17" s="74"/>
      <c r="AA17" s="74"/>
      <c r="AB17" s="74"/>
      <c r="AC17" s="74"/>
      <c r="AD17" s="74"/>
      <c r="AE17" s="76"/>
    </row>
    <row r="18">
      <c r="A18" s="77"/>
      <c r="B18" s="77"/>
      <c r="C18" s="77"/>
      <c r="D18" s="77"/>
      <c r="E18" s="66"/>
      <c r="F18" s="78"/>
      <c r="G18" s="78"/>
      <c r="H18" s="68"/>
      <c r="I18" s="68"/>
      <c r="J18" s="69"/>
      <c r="K18" s="70"/>
      <c r="L18" s="71" t="b">
        <v>0</v>
      </c>
      <c r="M18" s="71"/>
      <c r="N18" s="71"/>
      <c r="O18" s="68" t="b">
        <v>0</v>
      </c>
      <c r="P18" s="72"/>
      <c r="Q18" s="72"/>
      <c r="R18" s="72"/>
      <c r="S18" s="73"/>
      <c r="T18" s="73"/>
      <c r="U18" s="73"/>
      <c r="V18" s="68"/>
      <c r="W18" s="74"/>
      <c r="X18" s="74"/>
      <c r="Y18" s="74"/>
      <c r="Z18" s="74"/>
      <c r="AA18" s="74"/>
      <c r="AB18" s="74"/>
      <c r="AC18" s="74"/>
      <c r="AD18" s="74"/>
      <c r="AE18" s="76"/>
    </row>
    <row r="19">
      <c r="A19" s="77"/>
      <c r="B19" s="77"/>
      <c r="C19" s="77"/>
      <c r="D19" s="77"/>
      <c r="E19" s="66"/>
      <c r="F19" s="78"/>
      <c r="G19" s="78"/>
      <c r="H19" s="68"/>
      <c r="I19" s="68"/>
      <c r="J19" s="69"/>
      <c r="K19" s="70"/>
      <c r="L19" s="71" t="b">
        <v>0</v>
      </c>
      <c r="M19" s="71"/>
      <c r="N19" s="71"/>
      <c r="O19" s="68" t="b">
        <v>0</v>
      </c>
      <c r="P19" s="72"/>
      <c r="Q19" s="72"/>
      <c r="R19" s="72"/>
      <c r="S19" s="73"/>
      <c r="T19" s="73"/>
      <c r="U19" s="73"/>
      <c r="V19" s="68"/>
      <c r="W19" s="74"/>
      <c r="X19" s="74"/>
      <c r="Y19" s="74"/>
      <c r="Z19" s="74"/>
      <c r="AA19" s="74"/>
      <c r="AB19" s="74"/>
      <c r="AC19" s="74"/>
      <c r="AD19" s="74"/>
      <c r="AE19" s="76"/>
    </row>
    <row r="20">
      <c r="A20" s="77"/>
      <c r="B20" s="77"/>
      <c r="C20" s="77"/>
      <c r="D20" s="77"/>
      <c r="E20" s="66"/>
      <c r="F20" s="78"/>
      <c r="G20" s="78"/>
      <c r="H20" s="68"/>
      <c r="I20" s="68"/>
      <c r="J20" s="69"/>
      <c r="K20" s="70"/>
      <c r="L20" s="71" t="b">
        <v>0</v>
      </c>
      <c r="M20" s="71"/>
      <c r="N20" s="71"/>
      <c r="O20" s="68" t="b">
        <v>0</v>
      </c>
      <c r="P20" s="72"/>
      <c r="Q20" s="72"/>
      <c r="R20" s="72"/>
      <c r="S20" s="73"/>
      <c r="T20" s="73"/>
      <c r="U20" s="73"/>
      <c r="V20" s="68"/>
      <c r="W20" s="74"/>
      <c r="X20" s="74"/>
      <c r="Y20" s="74"/>
      <c r="Z20" s="74"/>
      <c r="AA20" s="74"/>
      <c r="AB20" s="74"/>
      <c r="AC20" s="74"/>
      <c r="AD20" s="74"/>
      <c r="AE20" s="76"/>
    </row>
    <row r="21">
      <c r="A21" s="77"/>
      <c r="B21" s="77"/>
      <c r="C21" s="77"/>
      <c r="D21" s="77"/>
      <c r="E21" s="66"/>
      <c r="F21" s="78"/>
      <c r="G21" s="78"/>
      <c r="H21" s="68"/>
      <c r="I21" s="68"/>
      <c r="J21" s="69"/>
      <c r="K21" s="70"/>
      <c r="L21" s="71" t="b">
        <v>0</v>
      </c>
      <c r="M21" s="71"/>
      <c r="N21" s="71"/>
      <c r="O21" s="68" t="b">
        <v>0</v>
      </c>
      <c r="P21" s="72"/>
      <c r="Q21" s="72"/>
      <c r="R21" s="72"/>
      <c r="S21" s="73"/>
      <c r="T21" s="73"/>
      <c r="U21" s="73"/>
      <c r="V21" s="68"/>
      <c r="W21" s="74"/>
      <c r="X21" s="74"/>
      <c r="Y21" s="74"/>
      <c r="Z21" s="74"/>
      <c r="AA21" s="74"/>
      <c r="AB21" s="74"/>
      <c r="AC21" s="74"/>
      <c r="AD21" s="74"/>
      <c r="AE21" s="76"/>
    </row>
  </sheetData>
  <autoFilter ref="$A$2:$AE$21"/>
  <mergeCells count="5">
    <mergeCell ref="B1:D1"/>
    <mergeCell ref="E1:J1"/>
    <mergeCell ref="K1:N1"/>
    <mergeCell ref="O1:V1"/>
    <mergeCell ref="W1:AA1"/>
  </mergeCells>
  <conditionalFormatting sqref="W3:AC21">
    <cfRule type="cellIs" dxfId="6" priority="1" operator="equal">
      <formula>"Low"</formula>
    </cfRule>
  </conditionalFormatting>
  <conditionalFormatting sqref="W3:AC21">
    <cfRule type="cellIs" dxfId="7" priority="2" operator="equal">
      <formula>"Medium"</formula>
    </cfRule>
  </conditionalFormatting>
  <conditionalFormatting sqref="W3:AC21">
    <cfRule type="cellIs" dxfId="8" priority="3" operator="equal">
      <formula>"High"</formula>
    </cfRule>
  </conditionalFormatting>
  <conditionalFormatting sqref="H3:J21">
    <cfRule type="colorScale" priority="4">
      <colorScale>
        <cfvo type="min"/>
        <cfvo type="max"/>
        <color rgb="FFFFFFFF"/>
        <color rgb="FF57BB8A"/>
      </colorScale>
    </cfRule>
  </conditionalFormatting>
  <conditionalFormatting sqref="A1:D1">
    <cfRule type="notContainsBlanks" dxfId="9" priority="5">
      <formula>LEN(TRIM(A1))&gt;0</formula>
    </cfRule>
  </conditionalFormatting>
  <dataValidations>
    <dataValidation type="list" allowBlank="1" showErrorMessage="1" sqref="M3:M21 AC3:AC21">
      <formula1>input_data!$D$2:$D$4</formula1>
    </dataValidation>
    <dataValidation type="list" allowBlank="1" showErrorMessage="1" sqref="E3:E21">
      <formula1>"Security,Observability,Both,Non-Security"</formula1>
    </dataValidation>
    <dataValidation type="custom" allowBlank="1" showDropDown="1" showInputMessage="1" prompt="Enter a valid date" sqref="P3:R21">
      <formula1>OR(NOT(ISERROR(DATEVALUE(P3))), AND(ISNUMBER(P3), LEFT(CELL("format", P3))="D"))</formula1>
    </dataValidation>
    <dataValidation type="list" allowBlank="1" showErrorMessage="1" sqref="Y3:Y21">
      <formula1>input_data!$H$2:$H$99</formula1>
    </dataValidation>
    <dataValidation type="list" allowBlank="1" showErrorMessage="1" sqref="W3:W21">
      <formula1>input_data!$F$2:$F$99</formula1>
    </dataValidation>
    <dataValidation type="list" allowBlank="1" showErrorMessage="1" sqref="AA3:AA21">
      <formula1>input_data!$J$2:$J$99</formula1>
    </dataValidation>
    <dataValidation type="list" allowBlank="1" showErrorMessage="1" sqref="G3:G21">
      <formula1>input_data!$A$2:$A$109</formula1>
    </dataValidation>
    <dataValidation type="list" allowBlank="1" showErrorMessage="1" sqref="X3:X21">
      <formula1>input_data!$G$2:$G$99</formula1>
    </dataValidation>
    <dataValidation type="list" allowBlank="1" showErrorMessage="1" sqref="AB3:AB21">
      <formula1>input_data!$K$2:$K$99</formula1>
    </dataValidation>
    <dataValidation type="list" allowBlank="1" showErrorMessage="1" sqref="H3:H21">
      <formula1>input_data!$C$2:$C$99</formula1>
    </dataValidation>
    <dataValidation type="list" allowBlank="1" showErrorMessage="1" sqref="I3:I21">
      <formula1>input_data!$B$2:$B$89</formula1>
    </dataValidation>
    <dataValidation type="list" allowBlank="1" showErrorMessage="1" sqref="F3:F21">
      <formula1>input_data!$E$2:$E$3</formula1>
    </dataValidation>
    <dataValidation type="list" allowBlank="1" showErrorMessage="1" sqref="Z3:Z21">
      <formula1>input_data!$I$2:$I$99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53.25"/>
    <col customWidth="1" min="2" max="2" width="19.38" outlineLevel="1"/>
    <col customWidth="1" min="3" max="3" width="18.63" outlineLevel="1"/>
    <col customWidth="1" min="4" max="4" width="15.25" outlineLevel="1"/>
    <col customWidth="1" min="5" max="5" width="13.75"/>
    <col customWidth="1" hidden="1" min="6" max="6" width="11.75"/>
    <col customWidth="1" min="7" max="7" width="14.75" outlineLevel="1"/>
    <col customWidth="1" min="8" max="9" width="32.13" outlineLevel="1"/>
    <col customWidth="1" min="10" max="10" width="11.75" outlineLevel="1"/>
    <col customWidth="1" min="11" max="11" width="10.63"/>
    <col min="12" max="14" width="12.63" outlineLevel="1"/>
    <col customWidth="1" min="15" max="15" width="10.75"/>
    <col customWidth="1" min="16" max="18" width="18.88" outlineLevel="1"/>
    <col customWidth="1" min="19" max="21" width="15.13" outlineLevel="1"/>
    <col min="22" max="22" width="12.63" outlineLevel="1"/>
    <col customWidth="1" min="23" max="23" width="30.63"/>
    <col customWidth="1" min="24" max="27" width="30.63" outlineLevel="1"/>
    <col customWidth="1" min="28" max="29" width="19.5"/>
    <col customWidth="1" min="30" max="30" width="28.13"/>
    <col customWidth="1" min="31" max="31" width="100.13"/>
  </cols>
  <sheetData>
    <row r="1">
      <c r="B1" s="46" t="s">
        <v>53</v>
      </c>
      <c r="E1" s="47" t="s">
        <v>54</v>
      </c>
      <c r="F1" s="48"/>
      <c r="G1" s="48"/>
      <c r="H1" s="48"/>
      <c r="I1" s="48"/>
      <c r="J1" s="49"/>
      <c r="K1" s="47" t="s">
        <v>55</v>
      </c>
      <c r="L1" s="48"/>
      <c r="M1" s="48"/>
      <c r="N1" s="49"/>
      <c r="O1" s="50" t="s">
        <v>56</v>
      </c>
      <c r="P1" s="48"/>
      <c r="Q1" s="48"/>
      <c r="R1" s="48"/>
      <c r="S1" s="48"/>
      <c r="T1" s="48"/>
      <c r="U1" s="48"/>
      <c r="V1" s="49"/>
      <c r="W1" s="51" t="s">
        <v>57</v>
      </c>
      <c r="X1" s="48"/>
      <c r="Y1" s="48"/>
      <c r="Z1" s="48"/>
      <c r="AA1" s="48"/>
      <c r="AB1" s="52"/>
      <c r="AC1" s="52"/>
      <c r="AD1" s="53"/>
      <c r="AE1" s="54"/>
    </row>
    <row r="2">
      <c r="A2" s="55" t="s">
        <v>37</v>
      </c>
      <c r="B2" s="56" t="s">
        <v>39</v>
      </c>
      <c r="C2" s="57" t="s">
        <v>40</v>
      </c>
      <c r="D2" s="57" t="s">
        <v>58</v>
      </c>
      <c r="E2" s="58" t="s">
        <v>59</v>
      </c>
      <c r="F2" s="59" t="s">
        <v>60</v>
      </c>
      <c r="G2" s="59" t="s">
        <v>61</v>
      </c>
      <c r="H2" s="60" t="s">
        <v>62</v>
      </c>
      <c r="I2" s="60" t="s">
        <v>63</v>
      </c>
      <c r="J2" s="60" t="s">
        <v>64</v>
      </c>
      <c r="K2" s="61" t="s">
        <v>65</v>
      </c>
      <c r="L2" s="62" t="s">
        <v>66</v>
      </c>
      <c r="M2" s="62" t="s">
        <v>67</v>
      </c>
      <c r="N2" s="62" t="s">
        <v>68</v>
      </c>
      <c r="O2" s="62" t="s">
        <v>69</v>
      </c>
      <c r="P2" s="63" t="s">
        <v>70</v>
      </c>
      <c r="Q2" s="63" t="s">
        <v>71</v>
      </c>
      <c r="R2" s="63" t="s">
        <v>72</v>
      </c>
      <c r="S2" s="62" t="s">
        <v>73</v>
      </c>
      <c r="T2" s="62" t="s">
        <v>74</v>
      </c>
      <c r="U2" s="64" t="s">
        <v>75</v>
      </c>
      <c r="V2" s="64" t="s">
        <v>76</v>
      </c>
      <c r="W2" s="60" t="s">
        <v>77</v>
      </c>
      <c r="X2" s="60" t="s">
        <v>78</v>
      </c>
      <c r="Y2" s="60" t="s">
        <v>79</v>
      </c>
      <c r="Z2" s="60" t="s">
        <v>80</v>
      </c>
      <c r="AA2" s="60" t="s">
        <v>81</v>
      </c>
      <c r="AB2" s="60" t="s">
        <v>82</v>
      </c>
      <c r="AC2" s="60" t="s">
        <v>83</v>
      </c>
      <c r="AD2" s="60" t="s">
        <v>84</v>
      </c>
      <c r="AE2" s="54" t="s">
        <v>85</v>
      </c>
    </row>
    <row r="3">
      <c r="A3" s="65"/>
      <c r="B3" s="65"/>
      <c r="C3" s="65"/>
      <c r="D3" s="65"/>
      <c r="E3" s="66"/>
      <c r="F3" s="67"/>
      <c r="G3" s="67"/>
      <c r="H3" s="68"/>
      <c r="I3" s="68"/>
      <c r="J3" s="69"/>
      <c r="K3" s="70"/>
      <c r="L3" s="71" t="b">
        <v>0</v>
      </c>
      <c r="M3" s="71"/>
      <c r="N3" s="71"/>
      <c r="O3" s="68" t="b">
        <v>0</v>
      </c>
      <c r="P3" s="72"/>
      <c r="Q3" s="72"/>
      <c r="R3" s="72"/>
      <c r="S3" s="73"/>
      <c r="T3" s="73"/>
      <c r="U3" s="73"/>
      <c r="V3" s="68"/>
      <c r="W3" s="74"/>
      <c r="X3" s="74"/>
      <c r="Y3" s="74"/>
      <c r="Z3" s="75"/>
      <c r="AA3" s="75"/>
      <c r="AB3" s="74"/>
      <c r="AC3" s="74"/>
      <c r="AD3" s="74"/>
      <c r="AE3" s="76"/>
    </row>
    <row r="4">
      <c r="A4" s="77"/>
      <c r="B4" s="77"/>
      <c r="C4" s="77"/>
      <c r="D4" s="77"/>
      <c r="E4" s="66"/>
      <c r="F4" s="78"/>
      <c r="G4" s="78"/>
      <c r="H4" s="79"/>
      <c r="I4" s="79"/>
      <c r="J4" s="80"/>
      <c r="K4" s="70"/>
      <c r="L4" s="71" t="b">
        <v>0</v>
      </c>
      <c r="M4" s="71"/>
      <c r="N4" s="71"/>
      <c r="O4" s="79" t="b">
        <v>0</v>
      </c>
      <c r="P4" s="81"/>
      <c r="Q4" s="81"/>
      <c r="R4" s="72"/>
      <c r="S4" s="73"/>
      <c r="T4" s="73"/>
      <c r="U4" s="73"/>
      <c r="V4" s="68"/>
      <c r="W4" s="74"/>
      <c r="X4" s="74"/>
      <c r="Y4" s="74"/>
      <c r="Z4" s="74"/>
      <c r="AA4" s="74"/>
      <c r="AB4" s="74"/>
      <c r="AC4" s="74"/>
      <c r="AD4" s="74"/>
      <c r="AE4" s="76"/>
    </row>
    <row r="5">
      <c r="A5" s="77"/>
      <c r="B5" s="77"/>
      <c r="C5" s="77"/>
      <c r="D5" s="77"/>
      <c r="E5" s="66"/>
      <c r="F5" s="78"/>
      <c r="G5" s="78"/>
      <c r="H5" s="79"/>
      <c r="I5" s="79"/>
      <c r="J5" s="80"/>
      <c r="K5" s="70"/>
      <c r="L5" s="71" t="b">
        <v>0</v>
      </c>
      <c r="M5" s="71"/>
      <c r="N5" s="71"/>
      <c r="O5" s="79" t="b">
        <v>0</v>
      </c>
      <c r="P5" s="72"/>
      <c r="Q5" s="72"/>
      <c r="R5" s="72"/>
      <c r="S5" s="73"/>
      <c r="T5" s="73"/>
      <c r="U5" s="73"/>
      <c r="V5" s="68"/>
      <c r="W5" s="74"/>
      <c r="X5" s="74"/>
      <c r="Y5" s="74"/>
      <c r="Z5" s="74"/>
      <c r="AA5" s="74"/>
      <c r="AB5" s="74"/>
      <c r="AC5" s="74"/>
      <c r="AD5" s="74"/>
      <c r="AE5" s="82"/>
    </row>
    <row r="6">
      <c r="A6" s="77"/>
      <c r="B6" s="77"/>
      <c r="C6" s="77"/>
      <c r="D6" s="77"/>
      <c r="E6" s="66"/>
      <c r="F6" s="78"/>
      <c r="G6" s="78"/>
      <c r="H6" s="79"/>
      <c r="I6" s="79"/>
      <c r="J6" s="80"/>
      <c r="K6" s="70"/>
      <c r="L6" s="71" t="b">
        <v>0</v>
      </c>
      <c r="M6" s="71"/>
      <c r="N6" s="71"/>
      <c r="O6" s="79" t="b">
        <v>0</v>
      </c>
      <c r="P6" s="72"/>
      <c r="Q6" s="72"/>
      <c r="R6" s="72"/>
      <c r="S6" s="73"/>
      <c r="T6" s="73"/>
      <c r="U6" s="73"/>
      <c r="V6" s="68"/>
      <c r="W6" s="74"/>
      <c r="X6" s="74"/>
      <c r="Y6" s="74"/>
      <c r="Z6" s="74"/>
      <c r="AA6" s="74"/>
      <c r="AB6" s="74"/>
      <c r="AC6" s="74"/>
      <c r="AD6" s="74"/>
      <c r="AE6" s="76"/>
    </row>
    <row r="7">
      <c r="A7" s="77"/>
      <c r="B7" s="77"/>
      <c r="C7" s="77"/>
      <c r="D7" s="77"/>
      <c r="E7" s="66"/>
      <c r="F7" s="78"/>
      <c r="G7" s="78"/>
      <c r="H7" s="79"/>
      <c r="I7" s="79"/>
      <c r="J7" s="80"/>
      <c r="K7" s="70"/>
      <c r="L7" s="71" t="b">
        <v>0</v>
      </c>
      <c r="M7" s="71"/>
      <c r="N7" s="71"/>
      <c r="O7" s="79" t="b">
        <v>0</v>
      </c>
      <c r="P7" s="72"/>
      <c r="Q7" s="72"/>
      <c r="R7" s="72"/>
      <c r="S7" s="73"/>
      <c r="T7" s="73"/>
      <c r="U7" s="73"/>
      <c r="V7" s="68"/>
      <c r="W7" s="74"/>
      <c r="X7" s="74"/>
      <c r="Y7" s="74"/>
      <c r="Z7" s="74"/>
      <c r="AA7" s="74"/>
      <c r="AB7" s="74"/>
      <c r="AC7" s="74"/>
      <c r="AD7" s="74"/>
      <c r="AE7" s="76"/>
    </row>
    <row r="8">
      <c r="A8" s="77"/>
      <c r="B8" s="77"/>
      <c r="C8" s="77"/>
      <c r="D8" s="77"/>
      <c r="E8" s="66"/>
      <c r="F8" s="78"/>
      <c r="G8" s="78"/>
      <c r="H8" s="79"/>
      <c r="I8" s="79"/>
      <c r="J8" s="69"/>
      <c r="K8" s="70"/>
      <c r="L8" s="71" t="b">
        <v>0</v>
      </c>
      <c r="M8" s="71"/>
      <c r="N8" s="71"/>
      <c r="O8" s="79" t="b">
        <v>0</v>
      </c>
      <c r="P8" s="81"/>
      <c r="Q8" s="81"/>
      <c r="R8" s="72"/>
      <c r="S8" s="73"/>
      <c r="T8" s="73"/>
      <c r="U8" s="73"/>
      <c r="V8" s="68"/>
      <c r="W8" s="74"/>
      <c r="X8" s="74"/>
      <c r="Y8" s="74"/>
      <c r="Z8" s="74"/>
      <c r="AA8" s="74"/>
      <c r="AB8" s="74"/>
      <c r="AC8" s="74"/>
      <c r="AD8" s="74"/>
      <c r="AE8" s="76"/>
    </row>
    <row r="9">
      <c r="A9" s="77"/>
      <c r="B9" s="77"/>
      <c r="C9" s="77"/>
      <c r="D9" s="77"/>
      <c r="E9" s="66"/>
      <c r="F9" s="78"/>
      <c r="G9" s="78"/>
      <c r="H9" s="68"/>
      <c r="I9" s="68"/>
      <c r="J9" s="69"/>
      <c r="K9" s="70"/>
      <c r="L9" s="83" t="b">
        <v>0</v>
      </c>
      <c r="M9" s="83"/>
      <c r="N9" s="71"/>
      <c r="O9" s="79" t="b">
        <v>0</v>
      </c>
      <c r="P9" s="72"/>
      <c r="Q9" s="72"/>
      <c r="R9" s="72"/>
      <c r="S9" s="73"/>
      <c r="T9" s="73"/>
      <c r="U9" s="73"/>
      <c r="V9" s="68"/>
      <c r="W9" s="74"/>
      <c r="X9" s="74"/>
      <c r="Y9" s="74"/>
      <c r="Z9" s="74"/>
      <c r="AA9" s="74"/>
      <c r="AB9" s="74"/>
      <c r="AC9" s="74"/>
      <c r="AD9" s="74"/>
      <c r="AE9" s="84"/>
    </row>
    <row r="10">
      <c r="A10" s="77"/>
      <c r="B10" s="77"/>
      <c r="C10" s="77"/>
      <c r="D10" s="77"/>
      <c r="E10" s="66"/>
      <c r="F10" s="78"/>
      <c r="G10" s="78"/>
      <c r="H10" s="68"/>
      <c r="I10" s="68"/>
      <c r="J10" s="69"/>
      <c r="K10" s="70"/>
      <c r="L10" s="71" t="b">
        <v>0</v>
      </c>
      <c r="M10" s="71"/>
      <c r="N10" s="71"/>
      <c r="O10" s="68" t="b">
        <v>0</v>
      </c>
      <c r="P10" s="72"/>
      <c r="Q10" s="72"/>
      <c r="R10" s="72"/>
      <c r="S10" s="73"/>
      <c r="T10" s="73"/>
      <c r="U10" s="73"/>
      <c r="V10" s="68"/>
      <c r="W10" s="74"/>
      <c r="X10" s="74"/>
      <c r="Y10" s="74"/>
      <c r="Z10" s="74"/>
      <c r="AA10" s="74"/>
      <c r="AB10" s="74"/>
      <c r="AC10" s="74"/>
      <c r="AD10" s="74"/>
      <c r="AE10" s="76"/>
    </row>
    <row r="11">
      <c r="A11" s="77"/>
      <c r="B11" s="77"/>
      <c r="C11" s="77"/>
      <c r="D11" s="77"/>
      <c r="E11" s="66"/>
      <c r="F11" s="78"/>
      <c r="G11" s="78"/>
      <c r="H11" s="68"/>
      <c r="I11" s="68"/>
      <c r="J11" s="69"/>
      <c r="K11" s="70"/>
      <c r="L11" s="71" t="b">
        <v>0</v>
      </c>
      <c r="M11" s="71"/>
      <c r="N11" s="71"/>
      <c r="O11" s="68" t="b">
        <v>0</v>
      </c>
      <c r="P11" s="72"/>
      <c r="Q11" s="72"/>
      <c r="R11" s="72"/>
      <c r="S11" s="73"/>
      <c r="T11" s="73"/>
      <c r="U11" s="73"/>
      <c r="V11" s="68"/>
      <c r="W11" s="74"/>
      <c r="X11" s="74"/>
      <c r="Y11" s="74"/>
      <c r="Z11" s="74"/>
      <c r="AA11" s="74"/>
      <c r="AB11" s="74"/>
      <c r="AC11" s="74"/>
      <c r="AD11" s="74"/>
      <c r="AE11" s="76"/>
    </row>
    <row r="12">
      <c r="A12" s="77"/>
      <c r="B12" s="77"/>
      <c r="C12" s="77"/>
      <c r="D12" s="77"/>
      <c r="E12" s="66"/>
      <c r="F12" s="78"/>
      <c r="G12" s="78"/>
      <c r="H12" s="68"/>
      <c r="I12" s="68"/>
      <c r="J12" s="69"/>
      <c r="K12" s="70"/>
      <c r="L12" s="71" t="b">
        <v>0</v>
      </c>
      <c r="M12" s="71"/>
      <c r="N12" s="71"/>
      <c r="O12" s="68" t="b">
        <v>0</v>
      </c>
      <c r="P12" s="72"/>
      <c r="Q12" s="72"/>
      <c r="R12" s="72"/>
      <c r="S12" s="73"/>
      <c r="T12" s="73"/>
      <c r="U12" s="73"/>
      <c r="V12" s="68"/>
      <c r="W12" s="74"/>
      <c r="X12" s="74"/>
      <c r="Y12" s="74"/>
      <c r="Z12" s="74"/>
      <c r="AA12" s="74"/>
      <c r="AB12" s="74"/>
      <c r="AC12" s="74"/>
      <c r="AD12" s="74"/>
      <c r="AE12" s="76"/>
    </row>
    <row r="13">
      <c r="A13" s="77"/>
      <c r="B13" s="77"/>
      <c r="C13" s="77"/>
      <c r="D13" s="77"/>
      <c r="E13" s="66"/>
      <c r="F13" s="78"/>
      <c r="G13" s="78"/>
      <c r="H13" s="68"/>
      <c r="I13" s="68"/>
      <c r="J13" s="69"/>
      <c r="K13" s="70"/>
      <c r="L13" s="71" t="b">
        <v>0</v>
      </c>
      <c r="M13" s="71"/>
      <c r="N13" s="71"/>
      <c r="O13" s="68" t="b">
        <v>0</v>
      </c>
      <c r="P13" s="72"/>
      <c r="Q13" s="72"/>
      <c r="R13" s="72"/>
      <c r="S13" s="73"/>
      <c r="T13" s="73"/>
      <c r="U13" s="73"/>
      <c r="V13" s="68"/>
      <c r="W13" s="74"/>
      <c r="X13" s="74"/>
      <c r="Y13" s="74"/>
      <c r="Z13" s="74"/>
      <c r="AA13" s="74"/>
      <c r="AB13" s="74"/>
      <c r="AC13" s="74"/>
      <c r="AD13" s="74"/>
      <c r="AE13" s="76"/>
    </row>
    <row r="14">
      <c r="A14" s="77"/>
      <c r="B14" s="77"/>
      <c r="C14" s="77"/>
      <c r="D14" s="77"/>
      <c r="E14" s="66"/>
      <c r="F14" s="78"/>
      <c r="G14" s="78"/>
      <c r="H14" s="68"/>
      <c r="I14" s="68"/>
      <c r="J14" s="69"/>
      <c r="K14" s="70"/>
      <c r="L14" s="71" t="b">
        <v>0</v>
      </c>
      <c r="M14" s="71"/>
      <c r="N14" s="71"/>
      <c r="O14" s="68" t="b">
        <v>0</v>
      </c>
      <c r="P14" s="72"/>
      <c r="Q14" s="72"/>
      <c r="R14" s="72"/>
      <c r="S14" s="73"/>
      <c r="T14" s="73"/>
      <c r="U14" s="73"/>
      <c r="V14" s="68"/>
      <c r="W14" s="74"/>
      <c r="X14" s="74"/>
      <c r="Y14" s="74"/>
      <c r="Z14" s="74"/>
      <c r="AA14" s="74"/>
      <c r="AB14" s="74"/>
      <c r="AC14" s="74"/>
      <c r="AD14" s="74"/>
      <c r="AE14" s="76"/>
    </row>
    <row r="15">
      <c r="A15" s="77"/>
      <c r="B15" s="77"/>
      <c r="C15" s="77"/>
      <c r="D15" s="77"/>
      <c r="E15" s="66"/>
      <c r="F15" s="78"/>
      <c r="G15" s="78"/>
      <c r="H15" s="68"/>
      <c r="I15" s="68"/>
      <c r="J15" s="69"/>
      <c r="K15" s="70"/>
      <c r="L15" s="71" t="b">
        <v>0</v>
      </c>
      <c r="M15" s="71"/>
      <c r="N15" s="71"/>
      <c r="O15" s="68" t="b">
        <v>0</v>
      </c>
      <c r="P15" s="72"/>
      <c r="Q15" s="72"/>
      <c r="R15" s="72"/>
      <c r="S15" s="73"/>
      <c r="T15" s="73"/>
      <c r="U15" s="73"/>
      <c r="V15" s="68"/>
      <c r="W15" s="74"/>
      <c r="X15" s="74"/>
      <c r="Y15" s="74"/>
      <c r="Z15" s="74"/>
      <c r="AA15" s="74"/>
      <c r="AB15" s="74"/>
      <c r="AC15" s="74"/>
      <c r="AD15" s="74"/>
      <c r="AE15" s="76"/>
    </row>
    <row r="16">
      <c r="A16" s="77"/>
      <c r="B16" s="77"/>
      <c r="C16" s="77"/>
      <c r="D16" s="77"/>
      <c r="E16" s="66"/>
      <c r="F16" s="78"/>
      <c r="G16" s="78"/>
      <c r="H16" s="68"/>
      <c r="I16" s="68"/>
      <c r="J16" s="69"/>
      <c r="K16" s="70"/>
      <c r="L16" s="71" t="b">
        <v>0</v>
      </c>
      <c r="M16" s="71"/>
      <c r="N16" s="71"/>
      <c r="O16" s="68" t="b">
        <v>0</v>
      </c>
      <c r="P16" s="72"/>
      <c r="Q16" s="72"/>
      <c r="R16" s="72"/>
      <c r="S16" s="73"/>
      <c r="T16" s="73"/>
      <c r="U16" s="73"/>
      <c r="V16" s="68"/>
      <c r="W16" s="74"/>
      <c r="X16" s="74"/>
      <c r="Y16" s="74"/>
      <c r="Z16" s="74"/>
      <c r="AA16" s="74"/>
      <c r="AB16" s="74"/>
      <c r="AC16" s="74"/>
      <c r="AD16" s="74"/>
      <c r="AE16" s="76"/>
    </row>
    <row r="17">
      <c r="A17" s="77"/>
      <c r="B17" s="77"/>
      <c r="C17" s="77"/>
      <c r="D17" s="77"/>
      <c r="E17" s="66"/>
      <c r="F17" s="78"/>
      <c r="G17" s="78"/>
      <c r="H17" s="68"/>
      <c r="I17" s="68"/>
      <c r="J17" s="69"/>
      <c r="K17" s="70"/>
      <c r="L17" s="71" t="b">
        <v>0</v>
      </c>
      <c r="M17" s="71"/>
      <c r="N17" s="71"/>
      <c r="O17" s="68" t="b">
        <v>0</v>
      </c>
      <c r="P17" s="72"/>
      <c r="Q17" s="72"/>
      <c r="R17" s="72"/>
      <c r="S17" s="73"/>
      <c r="T17" s="73"/>
      <c r="U17" s="73"/>
      <c r="V17" s="68"/>
      <c r="W17" s="74"/>
      <c r="X17" s="74"/>
      <c r="Y17" s="74"/>
      <c r="Z17" s="74"/>
      <c r="AA17" s="74"/>
      <c r="AB17" s="74"/>
      <c r="AC17" s="74"/>
      <c r="AD17" s="74"/>
      <c r="AE17" s="76"/>
    </row>
    <row r="18">
      <c r="A18" s="77"/>
      <c r="B18" s="77"/>
      <c r="C18" s="77"/>
      <c r="D18" s="77"/>
      <c r="E18" s="66"/>
      <c r="F18" s="78"/>
      <c r="G18" s="78"/>
      <c r="H18" s="68"/>
      <c r="I18" s="68"/>
      <c r="J18" s="69"/>
      <c r="K18" s="70"/>
      <c r="L18" s="71" t="b">
        <v>0</v>
      </c>
      <c r="M18" s="71"/>
      <c r="N18" s="71"/>
      <c r="O18" s="68" t="b">
        <v>0</v>
      </c>
      <c r="P18" s="72"/>
      <c r="Q18" s="72"/>
      <c r="R18" s="72"/>
      <c r="S18" s="73"/>
      <c r="T18" s="73"/>
      <c r="U18" s="73"/>
      <c r="V18" s="68"/>
      <c r="W18" s="74"/>
      <c r="X18" s="74"/>
      <c r="Y18" s="74"/>
      <c r="Z18" s="74"/>
      <c r="AA18" s="74"/>
      <c r="AB18" s="74"/>
      <c r="AC18" s="74"/>
      <c r="AD18" s="74"/>
      <c r="AE18" s="76"/>
    </row>
    <row r="19">
      <c r="A19" s="77"/>
      <c r="B19" s="77"/>
      <c r="C19" s="77"/>
      <c r="D19" s="77"/>
      <c r="E19" s="66"/>
      <c r="F19" s="78"/>
      <c r="G19" s="78"/>
      <c r="H19" s="68"/>
      <c r="I19" s="68"/>
      <c r="J19" s="69"/>
      <c r="K19" s="70"/>
      <c r="L19" s="71" t="b">
        <v>0</v>
      </c>
      <c r="M19" s="71"/>
      <c r="N19" s="71"/>
      <c r="O19" s="68" t="b">
        <v>0</v>
      </c>
      <c r="P19" s="72"/>
      <c r="Q19" s="72"/>
      <c r="R19" s="72"/>
      <c r="S19" s="73"/>
      <c r="T19" s="73"/>
      <c r="U19" s="73"/>
      <c r="V19" s="68"/>
      <c r="W19" s="74"/>
      <c r="X19" s="74"/>
      <c r="Y19" s="74"/>
      <c r="Z19" s="74"/>
      <c r="AA19" s="74"/>
      <c r="AB19" s="74"/>
      <c r="AC19" s="74"/>
      <c r="AD19" s="74"/>
      <c r="AE19" s="76"/>
    </row>
    <row r="20">
      <c r="A20" s="77"/>
      <c r="B20" s="77"/>
      <c r="C20" s="77"/>
      <c r="D20" s="77"/>
      <c r="E20" s="66"/>
      <c r="F20" s="78"/>
      <c r="G20" s="78"/>
      <c r="H20" s="68"/>
      <c r="I20" s="68"/>
      <c r="J20" s="69"/>
      <c r="K20" s="70"/>
      <c r="L20" s="71" t="b">
        <v>0</v>
      </c>
      <c r="M20" s="71"/>
      <c r="N20" s="71"/>
      <c r="O20" s="68" t="b">
        <v>0</v>
      </c>
      <c r="P20" s="72"/>
      <c r="Q20" s="72"/>
      <c r="R20" s="72"/>
      <c r="S20" s="73"/>
      <c r="T20" s="73"/>
      <c r="U20" s="73"/>
      <c r="V20" s="68"/>
      <c r="W20" s="74"/>
      <c r="X20" s="74"/>
      <c r="Y20" s="74"/>
      <c r="Z20" s="74"/>
      <c r="AA20" s="74"/>
      <c r="AB20" s="74"/>
      <c r="AC20" s="74"/>
      <c r="AD20" s="74"/>
      <c r="AE20" s="76"/>
    </row>
    <row r="21">
      <c r="A21" s="77"/>
      <c r="B21" s="77"/>
      <c r="C21" s="77"/>
      <c r="D21" s="77"/>
      <c r="E21" s="66"/>
      <c r="F21" s="78"/>
      <c r="G21" s="78"/>
      <c r="H21" s="68"/>
      <c r="I21" s="68"/>
      <c r="J21" s="69"/>
      <c r="K21" s="70"/>
      <c r="L21" s="71" t="b">
        <v>0</v>
      </c>
      <c r="M21" s="71"/>
      <c r="N21" s="71"/>
      <c r="O21" s="68" t="b">
        <v>0</v>
      </c>
      <c r="P21" s="72"/>
      <c r="Q21" s="72"/>
      <c r="R21" s="72"/>
      <c r="S21" s="73"/>
      <c r="T21" s="73"/>
      <c r="U21" s="73"/>
      <c r="V21" s="68"/>
      <c r="W21" s="74"/>
      <c r="X21" s="74"/>
      <c r="Y21" s="74"/>
      <c r="Z21" s="74"/>
      <c r="AA21" s="74"/>
      <c r="AB21" s="74"/>
      <c r="AC21" s="74"/>
      <c r="AD21" s="74"/>
      <c r="AE21" s="76"/>
    </row>
  </sheetData>
  <autoFilter ref="$A$2:$AE$21"/>
  <mergeCells count="5">
    <mergeCell ref="B1:D1"/>
    <mergeCell ref="E1:J1"/>
    <mergeCell ref="K1:N1"/>
    <mergeCell ref="O1:V1"/>
    <mergeCell ref="W1:AA1"/>
  </mergeCells>
  <conditionalFormatting sqref="W3:AC21">
    <cfRule type="cellIs" dxfId="6" priority="1" operator="equal">
      <formula>"Low"</formula>
    </cfRule>
  </conditionalFormatting>
  <conditionalFormatting sqref="W3:AC21">
    <cfRule type="cellIs" dxfId="7" priority="2" operator="equal">
      <formula>"Medium"</formula>
    </cfRule>
  </conditionalFormatting>
  <conditionalFormatting sqref="W3:AC21">
    <cfRule type="cellIs" dxfId="8" priority="3" operator="equal">
      <formula>"High"</formula>
    </cfRule>
  </conditionalFormatting>
  <conditionalFormatting sqref="H3:J21">
    <cfRule type="colorScale" priority="4">
      <colorScale>
        <cfvo type="min"/>
        <cfvo type="max"/>
        <color rgb="FFFFFFFF"/>
        <color rgb="FF57BB8A"/>
      </colorScale>
    </cfRule>
  </conditionalFormatting>
  <conditionalFormatting sqref="A1:D1">
    <cfRule type="notContainsBlanks" dxfId="9" priority="5">
      <formula>LEN(TRIM(A1))&gt;0</formula>
    </cfRule>
  </conditionalFormatting>
  <dataValidations>
    <dataValidation type="list" allowBlank="1" showErrorMessage="1" sqref="M3:M21 AC3:AC21">
      <formula1>input_data!$D$2:$D$4</formula1>
    </dataValidation>
    <dataValidation type="list" allowBlank="1" showErrorMessage="1" sqref="E3:E21">
      <formula1>"Security,Observability,Both,Non-Security"</formula1>
    </dataValidation>
    <dataValidation type="custom" allowBlank="1" showDropDown="1" showInputMessage="1" prompt="Enter a valid date" sqref="P3:R21">
      <formula1>OR(NOT(ISERROR(DATEVALUE(P3))), AND(ISNUMBER(P3), LEFT(CELL("format", P3))="D"))</formula1>
    </dataValidation>
    <dataValidation type="list" allowBlank="1" showErrorMessage="1" sqref="Y3:Y21">
      <formula1>input_data!$H$2:$H$99</formula1>
    </dataValidation>
    <dataValidation type="list" allowBlank="1" showErrorMessage="1" sqref="W3:W21">
      <formula1>input_data!$F$2:$F$99</formula1>
    </dataValidation>
    <dataValidation type="list" allowBlank="1" showErrorMessage="1" sqref="AA3:AA21">
      <formula1>input_data!$J$2:$J$99</formula1>
    </dataValidation>
    <dataValidation type="list" allowBlank="1" showErrorMessage="1" sqref="G3:G21">
      <formula1>input_data!$A$2:$A$109</formula1>
    </dataValidation>
    <dataValidation type="list" allowBlank="1" showErrorMessage="1" sqref="X3:X21">
      <formula1>input_data!$G$2:$G$99</formula1>
    </dataValidation>
    <dataValidation type="list" allowBlank="1" showErrorMessage="1" sqref="AB3:AB21">
      <formula1>input_data!$K$2:$K$99</formula1>
    </dataValidation>
    <dataValidation type="list" allowBlank="1" showErrorMessage="1" sqref="H3:H21">
      <formula1>input_data!$C$2:$C$99</formula1>
    </dataValidation>
    <dataValidation type="list" allowBlank="1" showErrorMessage="1" sqref="I3:I21">
      <formula1>input_data!$B$2:$B$89</formula1>
    </dataValidation>
    <dataValidation type="list" allowBlank="1" showErrorMessage="1" sqref="F3:F21">
      <formula1>input_data!$E$2:$E$3</formula1>
    </dataValidation>
    <dataValidation type="list" allowBlank="1" showErrorMessage="1" sqref="Z3:Z21">
      <formula1>input_data!$I$2:$I$99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6.13"/>
    <col customWidth="1" min="3" max="3" width="18.88"/>
    <col customWidth="1" min="4" max="4" width="23.63"/>
    <col customWidth="1" min="5" max="5" width="19.25"/>
    <col customWidth="1" min="6" max="6" width="19.0"/>
    <col customWidth="1" min="7" max="7" width="14.75"/>
    <col customWidth="1" min="8" max="8" width="31.88"/>
    <col customWidth="1" min="9" max="9" width="16.13"/>
    <col customWidth="1" min="10" max="10" width="16.25"/>
  </cols>
  <sheetData>
    <row r="1" hidden="1">
      <c r="A1" s="29"/>
      <c r="B1" s="29"/>
      <c r="C1" s="30"/>
      <c r="D1" s="30" t="s">
        <v>36</v>
      </c>
      <c r="E1" s="29"/>
      <c r="F1" s="31"/>
      <c r="G1" s="32"/>
      <c r="H1" s="32"/>
      <c r="I1" s="32"/>
      <c r="J1" s="32"/>
    </row>
    <row r="2" ht="22.5" hidden="1" customHeight="1">
      <c r="A2" s="33" t="s">
        <v>37</v>
      </c>
      <c r="B2" s="34" t="s">
        <v>38</v>
      </c>
      <c r="C2" s="33" t="s">
        <v>39</v>
      </c>
      <c r="D2" s="34" t="s">
        <v>40</v>
      </c>
      <c r="E2" s="35" t="s">
        <v>41</v>
      </c>
      <c r="F2" s="33" t="s">
        <v>42</v>
      </c>
      <c r="G2" s="33" t="s">
        <v>43</v>
      </c>
      <c r="H2" s="33" t="s">
        <v>44</v>
      </c>
      <c r="I2" s="34" t="s">
        <v>10</v>
      </c>
    </row>
    <row r="3" ht="22.5" hidden="1" customHeight="1">
      <c r="A3" s="36"/>
      <c r="B3" s="37"/>
      <c r="C3" s="36"/>
      <c r="D3" s="36"/>
      <c r="F3" s="38"/>
      <c r="G3" s="39"/>
      <c r="H3" s="36"/>
      <c r="I3" s="39"/>
    </row>
    <row r="4" ht="22.5" hidden="1" customHeight="1">
      <c r="A4" s="36"/>
      <c r="B4" s="37"/>
      <c r="C4" s="36"/>
      <c r="D4" s="36"/>
      <c r="F4" s="38"/>
      <c r="G4" s="39"/>
      <c r="H4" s="39"/>
      <c r="I4" s="39"/>
    </row>
    <row r="5" ht="22.5" hidden="1" customHeight="1">
      <c r="A5" s="36"/>
      <c r="B5" s="37"/>
      <c r="C5" s="36"/>
      <c r="D5" s="36"/>
      <c r="F5" s="38"/>
      <c r="G5" s="39"/>
      <c r="H5" s="39"/>
      <c r="I5" s="40"/>
    </row>
    <row r="6" ht="22.5" hidden="1" customHeight="1">
      <c r="A6" s="36"/>
      <c r="B6" s="37"/>
      <c r="C6" s="36"/>
      <c r="D6" s="36"/>
      <c r="F6" s="38"/>
      <c r="G6" s="39"/>
      <c r="H6" s="39"/>
      <c r="I6" s="40"/>
    </row>
    <row r="7" ht="22.5" hidden="1" customHeight="1">
      <c r="A7" s="36"/>
      <c r="B7" s="37"/>
      <c r="C7" s="36"/>
      <c r="D7" s="36"/>
      <c r="F7" s="38"/>
      <c r="G7" s="39"/>
      <c r="H7" s="39"/>
      <c r="I7" s="40"/>
    </row>
    <row r="8" ht="22.5" hidden="1" customHeight="1">
      <c r="A8" s="36"/>
      <c r="B8" s="37"/>
      <c r="C8" s="36"/>
      <c r="D8" s="36"/>
      <c r="F8" s="38"/>
      <c r="G8" s="39"/>
      <c r="H8" s="39"/>
      <c r="I8" s="39"/>
    </row>
    <row r="9" ht="22.5" hidden="1" customHeight="1">
      <c r="A9" s="36"/>
      <c r="B9" s="37"/>
      <c r="C9" s="36"/>
      <c r="D9" s="36"/>
      <c r="F9" s="38"/>
      <c r="G9" s="39"/>
      <c r="H9" s="39"/>
      <c r="I9" s="39"/>
    </row>
    <row r="10" ht="22.5" hidden="1" customHeight="1">
      <c r="A10" s="36"/>
      <c r="B10" s="37"/>
      <c r="C10" s="36"/>
      <c r="D10" s="36"/>
      <c r="F10" s="38"/>
      <c r="G10" s="39"/>
      <c r="H10" s="39"/>
      <c r="I10" s="39"/>
    </row>
    <row r="11" ht="22.5" hidden="1" customHeight="1">
      <c r="A11" s="36"/>
      <c r="B11" s="37"/>
      <c r="C11" s="36"/>
      <c r="D11" s="36"/>
      <c r="F11" s="38"/>
      <c r="G11" s="39"/>
      <c r="H11" s="39"/>
      <c r="I11" s="39"/>
    </row>
    <row r="12" ht="22.5" hidden="1" customHeight="1">
      <c r="A12" s="36"/>
      <c r="B12" s="37"/>
      <c r="C12" s="36"/>
      <c r="D12" s="36"/>
      <c r="F12" s="38"/>
      <c r="G12" s="39"/>
      <c r="H12" s="39"/>
      <c r="I12" s="39"/>
    </row>
    <row r="13" ht="22.5" hidden="1" customHeight="1">
      <c r="A13" s="36"/>
      <c r="B13" s="37"/>
      <c r="C13" s="36"/>
      <c r="D13" s="36"/>
      <c r="F13" s="38"/>
      <c r="G13" s="39"/>
      <c r="H13" s="39"/>
      <c r="I13" s="39"/>
    </row>
    <row r="14" ht="22.5" hidden="1" customHeight="1">
      <c r="A14" s="36"/>
      <c r="B14" s="37"/>
      <c r="C14" s="36"/>
      <c r="D14" s="36"/>
      <c r="F14" s="38"/>
      <c r="G14" s="39"/>
      <c r="H14" s="39"/>
      <c r="I14" s="39"/>
    </row>
    <row r="15">
      <c r="A15" s="32"/>
      <c r="B15" s="32"/>
      <c r="C15" s="32"/>
      <c r="D15" s="85" t="s">
        <v>86</v>
      </c>
      <c r="E15" s="32"/>
      <c r="F15" s="31"/>
      <c r="G15" s="32"/>
      <c r="H15" s="32"/>
      <c r="I15" s="32"/>
      <c r="J15" s="32"/>
    </row>
    <row r="16" ht="22.5" customHeight="1">
      <c r="A16" s="33" t="s">
        <v>87</v>
      </c>
      <c r="B16" s="33" t="s">
        <v>46</v>
      </c>
      <c r="C16" s="33" t="s">
        <v>47</v>
      </c>
      <c r="D16" s="33" t="s">
        <v>48</v>
      </c>
      <c r="E16" s="33" t="s">
        <v>49</v>
      </c>
      <c r="F16" s="33" t="s">
        <v>50</v>
      </c>
      <c r="G16" s="33" t="s">
        <v>51</v>
      </c>
      <c r="H16" s="33" t="s">
        <v>52</v>
      </c>
    </row>
    <row r="17" ht="22.5" customHeight="1">
      <c r="A17" s="86"/>
      <c r="B17" s="43"/>
      <c r="C17" s="43"/>
      <c r="D17" s="43">
        <f t="shared" ref="D17:D24" si="1">B17+C17</f>
        <v>0</v>
      </c>
      <c r="E17" s="36"/>
      <c r="F17" s="44"/>
      <c r="G17" s="36"/>
      <c r="H17" s="43">
        <f t="shared" ref="H17:H24" si="2">C17/8</f>
        <v>0</v>
      </c>
    </row>
    <row r="18" ht="22.5" customHeight="1">
      <c r="A18" s="87"/>
      <c r="B18" s="43"/>
      <c r="C18" s="43"/>
      <c r="D18" s="43">
        <f t="shared" si="1"/>
        <v>0</v>
      </c>
      <c r="E18" s="36"/>
      <c r="F18" s="44"/>
      <c r="G18" s="36"/>
      <c r="H18" s="43">
        <f t="shared" si="2"/>
        <v>0</v>
      </c>
    </row>
    <row r="19" ht="22.5" customHeight="1">
      <c r="A19" s="87"/>
      <c r="B19" s="43"/>
      <c r="C19" s="43"/>
      <c r="D19" s="43">
        <f t="shared" si="1"/>
        <v>0</v>
      </c>
      <c r="E19" s="36"/>
      <c r="F19" s="44"/>
      <c r="G19" s="36"/>
      <c r="H19" s="43">
        <f t="shared" si="2"/>
        <v>0</v>
      </c>
    </row>
    <row r="20" ht="22.5" customHeight="1">
      <c r="A20" s="38"/>
      <c r="B20" s="43"/>
      <c r="C20" s="43"/>
      <c r="D20" s="43">
        <f t="shared" si="1"/>
        <v>0</v>
      </c>
      <c r="E20" s="36"/>
      <c r="F20" s="44"/>
      <c r="G20" s="36"/>
      <c r="H20" s="43">
        <f t="shared" si="2"/>
        <v>0</v>
      </c>
    </row>
    <row r="21" ht="22.5" customHeight="1">
      <c r="A21" s="38"/>
      <c r="B21" s="43"/>
      <c r="C21" s="43"/>
      <c r="D21" s="43">
        <f t="shared" si="1"/>
        <v>0</v>
      </c>
      <c r="E21" s="36"/>
      <c r="F21" s="44"/>
      <c r="G21" s="36"/>
      <c r="H21" s="43">
        <f t="shared" si="2"/>
        <v>0</v>
      </c>
    </row>
    <row r="22" ht="22.5" customHeight="1">
      <c r="A22" s="38"/>
      <c r="B22" s="43"/>
      <c r="C22" s="43"/>
      <c r="D22" s="43">
        <f t="shared" si="1"/>
        <v>0</v>
      </c>
      <c r="E22" s="36"/>
      <c r="F22" s="44"/>
      <c r="G22" s="36"/>
      <c r="H22" s="43">
        <f t="shared" si="2"/>
        <v>0</v>
      </c>
    </row>
    <row r="23" ht="22.5" customHeight="1">
      <c r="A23" s="38"/>
      <c r="B23" s="43"/>
      <c r="C23" s="43"/>
      <c r="D23" s="43">
        <f t="shared" si="1"/>
        <v>0</v>
      </c>
      <c r="E23" s="36"/>
      <c r="F23" s="44"/>
      <c r="G23" s="36"/>
      <c r="H23" s="43">
        <f t="shared" si="2"/>
        <v>0</v>
      </c>
    </row>
    <row r="24" ht="22.5" customHeight="1">
      <c r="A24" s="38"/>
      <c r="B24" s="43"/>
      <c r="C24" s="43"/>
      <c r="D24" s="43">
        <f t="shared" si="1"/>
        <v>0</v>
      </c>
      <c r="E24" s="36"/>
      <c r="F24" s="44"/>
      <c r="G24" s="36"/>
      <c r="H24" s="43">
        <f t="shared" si="2"/>
        <v>0</v>
      </c>
    </row>
    <row r="33">
      <c r="D33" s="45"/>
    </row>
  </sheetData>
  <dataValidations>
    <dataValidation type="list" allowBlank="1" sqref="F3:F14">
      <formula1>"Option 1,Option 2"</formula1>
    </dataValidation>
    <dataValidation type="custom" allowBlank="1" showDropDown="1" sqref="B3:B14 B17:D24 F17:F24 H17:H24">
      <formula1>AND(ISNUMBER(B3),(NOT(OR(NOT(ISERROR(DATEVALUE(B3))), AND(ISNUMBER(B3), LEFT(CELL("format", B3))="D")))))</formula1>
    </dataValidation>
    <dataValidation type="list" allowBlank="1" sqref="A17:A24">
      <formula1>"default_fleet"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/>
  <cols>
    <col customWidth="1" min="1" max="1" width="53.25"/>
    <col customWidth="1" min="2" max="2" width="19.38" outlineLevel="1"/>
    <col customWidth="1" min="3" max="3" width="18.63" outlineLevel="1"/>
    <col customWidth="1" min="4" max="4" width="15.25" outlineLevel="1"/>
    <col customWidth="1" min="5" max="5" width="13.75"/>
    <col customWidth="1" hidden="1" min="6" max="6" width="11.75"/>
    <col customWidth="1" min="7" max="7" width="14.75" outlineLevel="1"/>
    <col customWidth="1" min="8" max="9" width="32.13" outlineLevel="1"/>
    <col customWidth="1" min="10" max="10" width="11.75" outlineLevel="1"/>
    <col customWidth="1" min="11" max="11" width="10.63"/>
    <col min="12" max="14" width="12.63" outlineLevel="1"/>
    <col customWidth="1" min="15" max="15" width="10.75"/>
    <col customWidth="1" min="16" max="18" width="18.88" outlineLevel="1"/>
    <col customWidth="1" min="19" max="21" width="15.13" outlineLevel="1"/>
    <col min="22" max="22" width="12.63" outlineLevel="1"/>
    <col customWidth="1" min="23" max="23" width="30.63"/>
    <col customWidth="1" min="24" max="27" width="30.63" outlineLevel="1"/>
    <col customWidth="1" min="28" max="29" width="19.5"/>
    <col customWidth="1" min="30" max="30" width="28.13"/>
    <col customWidth="1" min="31" max="31" width="100.13"/>
  </cols>
  <sheetData>
    <row r="1">
      <c r="B1" s="46" t="s">
        <v>53</v>
      </c>
      <c r="E1" s="47" t="s">
        <v>54</v>
      </c>
      <c r="F1" s="48"/>
      <c r="G1" s="48"/>
      <c r="H1" s="48"/>
      <c r="I1" s="48"/>
      <c r="J1" s="49"/>
      <c r="K1" s="47" t="s">
        <v>55</v>
      </c>
      <c r="L1" s="48"/>
      <c r="M1" s="48"/>
      <c r="N1" s="49"/>
      <c r="O1" s="50" t="s">
        <v>56</v>
      </c>
      <c r="P1" s="48"/>
      <c r="Q1" s="48"/>
      <c r="R1" s="48"/>
      <c r="S1" s="48"/>
      <c r="T1" s="48"/>
      <c r="U1" s="48"/>
      <c r="V1" s="49"/>
      <c r="W1" s="51" t="s">
        <v>57</v>
      </c>
      <c r="X1" s="48"/>
      <c r="Y1" s="48"/>
      <c r="Z1" s="48"/>
      <c r="AA1" s="48"/>
      <c r="AB1" s="52"/>
      <c r="AC1" s="52"/>
      <c r="AD1" s="53"/>
      <c r="AE1" s="54"/>
    </row>
    <row r="2">
      <c r="A2" s="55" t="s">
        <v>37</v>
      </c>
      <c r="B2" s="56" t="s">
        <v>39</v>
      </c>
      <c r="C2" s="57" t="s">
        <v>40</v>
      </c>
      <c r="D2" s="57" t="s">
        <v>88</v>
      </c>
      <c r="E2" s="58" t="s">
        <v>59</v>
      </c>
      <c r="F2" s="59" t="s">
        <v>60</v>
      </c>
      <c r="G2" s="59" t="s">
        <v>61</v>
      </c>
      <c r="H2" s="60" t="s">
        <v>62</v>
      </c>
      <c r="I2" s="60" t="s">
        <v>63</v>
      </c>
      <c r="J2" s="60" t="s">
        <v>64</v>
      </c>
      <c r="K2" s="61" t="s">
        <v>65</v>
      </c>
      <c r="L2" s="62" t="s">
        <v>66</v>
      </c>
      <c r="M2" s="62" t="s">
        <v>67</v>
      </c>
      <c r="N2" s="62" t="s">
        <v>68</v>
      </c>
      <c r="O2" s="62" t="s">
        <v>69</v>
      </c>
      <c r="P2" s="63" t="s">
        <v>70</v>
      </c>
      <c r="Q2" s="63" t="s">
        <v>71</v>
      </c>
      <c r="R2" s="63" t="s">
        <v>72</v>
      </c>
      <c r="S2" s="62" t="s">
        <v>73</v>
      </c>
      <c r="T2" s="62" t="s">
        <v>74</v>
      </c>
      <c r="U2" s="64" t="s">
        <v>75</v>
      </c>
      <c r="V2" s="64" t="s">
        <v>76</v>
      </c>
      <c r="W2" s="60" t="s">
        <v>77</v>
      </c>
      <c r="X2" s="60" t="s">
        <v>78</v>
      </c>
      <c r="Y2" s="60" t="s">
        <v>79</v>
      </c>
      <c r="Z2" s="60" t="s">
        <v>80</v>
      </c>
      <c r="AA2" s="60" t="s">
        <v>81</v>
      </c>
      <c r="AB2" s="60" t="s">
        <v>82</v>
      </c>
      <c r="AC2" s="60" t="s">
        <v>83</v>
      </c>
      <c r="AD2" s="60" t="s">
        <v>84</v>
      </c>
      <c r="AE2" s="54" t="s">
        <v>85</v>
      </c>
    </row>
    <row r="3">
      <c r="A3" s="65"/>
      <c r="B3" s="65"/>
      <c r="C3" s="65"/>
      <c r="D3" s="65"/>
      <c r="E3" s="88"/>
      <c r="F3" s="67"/>
      <c r="G3" s="78"/>
      <c r="H3" s="68"/>
      <c r="I3" s="68"/>
      <c r="J3" s="69"/>
      <c r="K3" s="70"/>
      <c r="L3" s="71" t="b">
        <v>0</v>
      </c>
      <c r="M3" s="71"/>
      <c r="N3" s="71"/>
      <c r="O3" s="68" t="b">
        <v>0</v>
      </c>
      <c r="P3" s="72"/>
      <c r="Q3" s="72"/>
      <c r="R3" s="72"/>
      <c r="S3" s="73"/>
      <c r="T3" s="73"/>
      <c r="U3" s="73"/>
      <c r="V3" s="68"/>
      <c r="W3" s="74"/>
      <c r="X3" s="74"/>
      <c r="Y3" s="74"/>
      <c r="Z3" s="75"/>
      <c r="AA3" s="75"/>
      <c r="AB3" s="74"/>
      <c r="AC3" s="74"/>
      <c r="AD3" s="74"/>
      <c r="AE3" s="76"/>
    </row>
    <row r="4">
      <c r="A4" s="77"/>
      <c r="B4" s="77"/>
      <c r="C4" s="77"/>
      <c r="D4" s="77"/>
      <c r="E4" s="66"/>
      <c r="F4" s="78"/>
      <c r="G4" s="78"/>
      <c r="H4" s="79"/>
      <c r="I4" s="79"/>
      <c r="J4" s="80"/>
      <c r="K4" s="70"/>
      <c r="L4" s="71" t="b">
        <v>0</v>
      </c>
      <c r="M4" s="71"/>
      <c r="N4" s="71"/>
      <c r="O4" s="79" t="b">
        <v>0</v>
      </c>
      <c r="P4" s="81"/>
      <c r="Q4" s="81"/>
      <c r="R4" s="72"/>
      <c r="S4" s="73"/>
      <c r="T4" s="73"/>
      <c r="U4" s="73"/>
      <c r="V4" s="68"/>
      <c r="W4" s="74"/>
      <c r="X4" s="74"/>
      <c r="Y4" s="74"/>
      <c r="Z4" s="74"/>
      <c r="AA4" s="74"/>
      <c r="AB4" s="74"/>
      <c r="AC4" s="74"/>
      <c r="AD4" s="74"/>
      <c r="AE4" s="76"/>
    </row>
    <row r="5">
      <c r="A5" s="77"/>
      <c r="B5" s="77"/>
      <c r="C5" s="77"/>
      <c r="D5" s="77"/>
      <c r="E5" s="66"/>
      <c r="F5" s="78"/>
      <c r="G5" s="78"/>
      <c r="H5" s="79"/>
      <c r="I5" s="79"/>
      <c r="J5" s="80"/>
      <c r="K5" s="70"/>
      <c r="L5" s="71" t="b">
        <v>0</v>
      </c>
      <c r="M5" s="71"/>
      <c r="N5" s="71"/>
      <c r="O5" s="79" t="b">
        <v>0</v>
      </c>
      <c r="P5" s="72"/>
      <c r="Q5" s="72"/>
      <c r="R5" s="72"/>
      <c r="S5" s="73"/>
      <c r="T5" s="73"/>
      <c r="U5" s="73"/>
      <c r="V5" s="68"/>
      <c r="W5" s="74"/>
      <c r="X5" s="74"/>
      <c r="Y5" s="74"/>
      <c r="Z5" s="74"/>
      <c r="AA5" s="74"/>
      <c r="AB5" s="74"/>
      <c r="AC5" s="74"/>
      <c r="AD5" s="74"/>
      <c r="AE5" s="82"/>
    </row>
    <row r="6">
      <c r="A6" s="77"/>
      <c r="B6" s="77"/>
      <c r="C6" s="77"/>
      <c r="D6" s="77"/>
      <c r="E6" s="66"/>
      <c r="F6" s="78"/>
      <c r="G6" s="78"/>
      <c r="H6" s="79"/>
      <c r="I6" s="79"/>
      <c r="J6" s="80"/>
      <c r="K6" s="70"/>
      <c r="L6" s="71" t="b">
        <v>0</v>
      </c>
      <c r="M6" s="71"/>
      <c r="N6" s="71"/>
      <c r="O6" s="79" t="b">
        <v>0</v>
      </c>
      <c r="P6" s="72"/>
      <c r="Q6" s="72"/>
      <c r="R6" s="72"/>
      <c r="S6" s="73"/>
      <c r="T6" s="73"/>
      <c r="U6" s="73"/>
      <c r="V6" s="68"/>
      <c r="W6" s="74"/>
      <c r="X6" s="74"/>
      <c r="Y6" s="74"/>
      <c r="Z6" s="74"/>
      <c r="AA6" s="74"/>
      <c r="AB6" s="74"/>
      <c r="AC6" s="74"/>
      <c r="AD6" s="74"/>
      <c r="AE6" s="76"/>
    </row>
    <row r="7">
      <c r="A7" s="77"/>
      <c r="B7" s="77"/>
      <c r="C7" s="77"/>
      <c r="D7" s="77"/>
      <c r="E7" s="66"/>
      <c r="F7" s="78"/>
      <c r="G7" s="78"/>
      <c r="H7" s="79"/>
      <c r="I7" s="79"/>
      <c r="J7" s="80"/>
      <c r="K7" s="70"/>
      <c r="L7" s="71" t="b">
        <v>0</v>
      </c>
      <c r="M7" s="71"/>
      <c r="N7" s="71"/>
      <c r="O7" s="79" t="b">
        <v>0</v>
      </c>
      <c r="P7" s="72"/>
      <c r="Q7" s="72"/>
      <c r="R7" s="72"/>
      <c r="S7" s="73"/>
      <c r="T7" s="73"/>
      <c r="U7" s="73"/>
      <c r="V7" s="68"/>
      <c r="W7" s="74"/>
      <c r="X7" s="74"/>
      <c r="Y7" s="74"/>
      <c r="Z7" s="74"/>
      <c r="AA7" s="74"/>
      <c r="AB7" s="74"/>
      <c r="AC7" s="74"/>
      <c r="AD7" s="74"/>
      <c r="AE7" s="76"/>
    </row>
    <row r="8">
      <c r="A8" s="77"/>
      <c r="B8" s="77"/>
      <c r="C8" s="77"/>
      <c r="D8" s="77"/>
      <c r="E8" s="66"/>
      <c r="F8" s="78"/>
      <c r="G8" s="78"/>
      <c r="H8" s="79"/>
      <c r="I8" s="79"/>
      <c r="J8" s="69"/>
      <c r="K8" s="70"/>
      <c r="L8" s="71" t="b">
        <v>0</v>
      </c>
      <c r="M8" s="71"/>
      <c r="N8" s="71"/>
      <c r="O8" s="79" t="b">
        <v>0</v>
      </c>
      <c r="P8" s="81"/>
      <c r="Q8" s="81"/>
      <c r="R8" s="72"/>
      <c r="S8" s="73"/>
      <c r="T8" s="73"/>
      <c r="U8" s="73"/>
      <c r="V8" s="68"/>
      <c r="W8" s="74"/>
      <c r="X8" s="74"/>
      <c r="Y8" s="74"/>
      <c r="Z8" s="74"/>
      <c r="AA8" s="74"/>
      <c r="AB8" s="74"/>
      <c r="AC8" s="74"/>
      <c r="AD8" s="74"/>
      <c r="AE8" s="76"/>
    </row>
    <row r="9">
      <c r="A9" s="77"/>
      <c r="B9" s="77"/>
      <c r="C9" s="77"/>
      <c r="D9" s="77"/>
      <c r="E9" s="66"/>
      <c r="F9" s="78"/>
      <c r="G9" s="78"/>
      <c r="H9" s="68"/>
      <c r="I9" s="68"/>
      <c r="J9" s="69"/>
      <c r="K9" s="70"/>
      <c r="L9" s="83" t="b">
        <v>0</v>
      </c>
      <c r="M9" s="83"/>
      <c r="N9" s="71"/>
      <c r="O9" s="79" t="b">
        <v>0</v>
      </c>
      <c r="P9" s="72"/>
      <c r="Q9" s="72"/>
      <c r="R9" s="72"/>
      <c r="S9" s="73"/>
      <c r="T9" s="73"/>
      <c r="U9" s="73"/>
      <c r="V9" s="68"/>
      <c r="W9" s="74"/>
      <c r="X9" s="74"/>
      <c r="Y9" s="74"/>
      <c r="Z9" s="74"/>
      <c r="AA9" s="74"/>
      <c r="AB9" s="74"/>
      <c r="AC9" s="74"/>
      <c r="AD9" s="74"/>
      <c r="AE9" s="84"/>
    </row>
    <row r="10">
      <c r="A10" s="77"/>
      <c r="B10" s="77"/>
      <c r="C10" s="77"/>
      <c r="D10" s="77"/>
      <c r="E10" s="66"/>
      <c r="F10" s="78"/>
      <c r="G10" s="78"/>
      <c r="H10" s="68"/>
      <c r="I10" s="68"/>
      <c r="J10" s="69"/>
      <c r="K10" s="70"/>
      <c r="L10" s="71" t="b">
        <v>0</v>
      </c>
      <c r="M10" s="71"/>
      <c r="N10" s="71"/>
      <c r="O10" s="68" t="b">
        <v>0</v>
      </c>
      <c r="P10" s="72"/>
      <c r="Q10" s="72"/>
      <c r="R10" s="72"/>
      <c r="S10" s="73"/>
      <c r="T10" s="73"/>
      <c r="U10" s="73"/>
      <c r="V10" s="68"/>
      <c r="W10" s="74"/>
      <c r="X10" s="74"/>
      <c r="Y10" s="74"/>
      <c r="Z10" s="74"/>
      <c r="AA10" s="74"/>
      <c r="AB10" s="74"/>
      <c r="AC10" s="74"/>
      <c r="AD10" s="74"/>
      <c r="AE10" s="76"/>
    </row>
    <row r="11">
      <c r="A11" s="77"/>
      <c r="B11" s="77"/>
      <c r="C11" s="77"/>
      <c r="D11" s="77"/>
      <c r="E11" s="66"/>
      <c r="F11" s="78"/>
      <c r="G11" s="78"/>
      <c r="H11" s="68"/>
      <c r="I11" s="68"/>
      <c r="J11" s="69"/>
      <c r="K11" s="70"/>
      <c r="L11" s="71" t="b">
        <v>0</v>
      </c>
      <c r="M11" s="71"/>
      <c r="N11" s="71"/>
      <c r="O11" s="68" t="b">
        <v>0</v>
      </c>
      <c r="P11" s="72"/>
      <c r="Q11" s="72"/>
      <c r="R11" s="72"/>
      <c r="S11" s="73"/>
      <c r="T11" s="73"/>
      <c r="U11" s="73"/>
      <c r="V11" s="68"/>
      <c r="W11" s="74"/>
      <c r="X11" s="74"/>
      <c r="Y11" s="74"/>
      <c r="Z11" s="74"/>
      <c r="AA11" s="74"/>
      <c r="AB11" s="74"/>
      <c r="AC11" s="74"/>
      <c r="AD11" s="74"/>
      <c r="AE11" s="76"/>
    </row>
    <row r="12">
      <c r="A12" s="77"/>
      <c r="B12" s="77"/>
      <c r="C12" s="77"/>
      <c r="D12" s="77"/>
      <c r="E12" s="66"/>
      <c r="F12" s="78"/>
      <c r="G12" s="78"/>
      <c r="H12" s="68"/>
      <c r="I12" s="68"/>
      <c r="J12" s="69"/>
      <c r="K12" s="70"/>
      <c r="L12" s="71" t="b">
        <v>0</v>
      </c>
      <c r="M12" s="71"/>
      <c r="N12" s="71"/>
      <c r="O12" s="68" t="b">
        <v>0</v>
      </c>
      <c r="P12" s="72"/>
      <c r="Q12" s="72"/>
      <c r="R12" s="72"/>
      <c r="S12" s="73"/>
      <c r="T12" s="73"/>
      <c r="U12" s="73"/>
      <c r="V12" s="68"/>
      <c r="W12" s="74"/>
      <c r="X12" s="74"/>
      <c r="Y12" s="74"/>
      <c r="Z12" s="74"/>
      <c r="AA12" s="74"/>
      <c r="AB12" s="74"/>
      <c r="AC12" s="74"/>
      <c r="AD12" s="74"/>
      <c r="AE12" s="76"/>
    </row>
    <row r="13">
      <c r="A13" s="77"/>
      <c r="B13" s="77"/>
      <c r="C13" s="77"/>
      <c r="D13" s="77"/>
      <c r="E13" s="66"/>
      <c r="F13" s="78"/>
      <c r="G13" s="78"/>
      <c r="H13" s="68"/>
      <c r="I13" s="68"/>
      <c r="J13" s="69"/>
      <c r="K13" s="70"/>
      <c r="L13" s="71" t="b">
        <v>0</v>
      </c>
      <c r="M13" s="71"/>
      <c r="N13" s="71"/>
      <c r="O13" s="68" t="b">
        <v>0</v>
      </c>
      <c r="P13" s="72"/>
      <c r="Q13" s="72"/>
      <c r="R13" s="72"/>
      <c r="S13" s="73"/>
      <c r="T13" s="73"/>
      <c r="U13" s="73"/>
      <c r="V13" s="68"/>
      <c r="W13" s="74"/>
      <c r="X13" s="74"/>
      <c r="Y13" s="74"/>
      <c r="Z13" s="74"/>
      <c r="AA13" s="74"/>
      <c r="AB13" s="74"/>
      <c r="AC13" s="74"/>
      <c r="AD13" s="74"/>
      <c r="AE13" s="76"/>
    </row>
    <row r="14">
      <c r="A14" s="77"/>
      <c r="B14" s="77"/>
      <c r="C14" s="77"/>
      <c r="D14" s="77"/>
      <c r="E14" s="66"/>
      <c r="F14" s="78"/>
      <c r="G14" s="78"/>
      <c r="H14" s="68"/>
      <c r="I14" s="68"/>
      <c r="J14" s="69"/>
      <c r="K14" s="70"/>
      <c r="L14" s="71" t="b">
        <v>0</v>
      </c>
      <c r="M14" s="71"/>
      <c r="N14" s="71"/>
      <c r="O14" s="68" t="b">
        <v>0</v>
      </c>
      <c r="P14" s="72"/>
      <c r="Q14" s="72"/>
      <c r="R14" s="72"/>
      <c r="S14" s="73"/>
      <c r="T14" s="73"/>
      <c r="U14" s="73"/>
      <c r="V14" s="68"/>
      <c r="W14" s="74"/>
      <c r="X14" s="74"/>
      <c r="Y14" s="74"/>
      <c r="Z14" s="74"/>
      <c r="AA14" s="74"/>
      <c r="AB14" s="74"/>
      <c r="AC14" s="74"/>
      <c r="AD14" s="74"/>
      <c r="AE14" s="76"/>
    </row>
    <row r="15">
      <c r="A15" s="77"/>
      <c r="B15" s="77"/>
      <c r="C15" s="77"/>
      <c r="D15" s="77"/>
      <c r="E15" s="66"/>
      <c r="F15" s="78"/>
      <c r="G15" s="78"/>
      <c r="H15" s="68"/>
      <c r="I15" s="68"/>
      <c r="J15" s="69"/>
      <c r="K15" s="70"/>
      <c r="L15" s="71" t="b">
        <v>0</v>
      </c>
      <c r="M15" s="71"/>
      <c r="N15" s="71"/>
      <c r="O15" s="68" t="b">
        <v>0</v>
      </c>
      <c r="P15" s="72"/>
      <c r="Q15" s="72"/>
      <c r="R15" s="72"/>
      <c r="S15" s="73"/>
      <c r="T15" s="73"/>
      <c r="U15" s="73"/>
      <c r="V15" s="68"/>
      <c r="W15" s="74"/>
      <c r="X15" s="74"/>
      <c r="Y15" s="74"/>
      <c r="Z15" s="74"/>
      <c r="AA15" s="74"/>
      <c r="AB15" s="74"/>
      <c r="AC15" s="74"/>
      <c r="AD15" s="74"/>
      <c r="AE15" s="76"/>
    </row>
    <row r="16">
      <c r="A16" s="77"/>
      <c r="B16" s="77"/>
      <c r="C16" s="77"/>
      <c r="D16" s="77"/>
      <c r="E16" s="66"/>
      <c r="F16" s="78"/>
      <c r="G16" s="78"/>
      <c r="H16" s="68"/>
      <c r="I16" s="68"/>
      <c r="J16" s="69"/>
      <c r="K16" s="70"/>
      <c r="L16" s="71" t="b">
        <v>0</v>
      </c>
      <c r="M16" s="71"/>
      <c r="N16" s="71"/>
      <c r="O16" s="68" t="b">
        <v>0</v>
      </c>
      <c r="P16" s="72"/>
      <c r="Q16" s="72"/>
      <c r="R16" s="72"/>
      <c r="S16" s="73"/>
      <c r="T16" s="73"/>
      <c r="U16" s="73"/>
      <c r="V16" s="68"/>
      <c r="W16" s="74"/>
      <c r="X16" s="74"/>
      <c r="Y16" s="74"/>
      <c r="Z16" s="74"/>
      <c r="AA16" s="74"/>
      <c r="AB16" s="74"/>
      <c r="AC16" s="74"/>
      <c r="AD16" s="74"/>
      <c r="AE16" s="76"/>
    </row>
    <row r="17">
      <c r="A17" s="77"/>
      <c r="B17" s="77"/>
      <c r="C17" s="77"/>
      <c r="D17" s="77"/>
      <c r="E17" s="66"/>
      <c r="F17" s="78"/>
      <c r="G17" s="78"/>
      <c r="H17" s="68"/>
      <c r="I17" s="68"/>
      <c r="J17" s="69"/>
      <c r="K17" s="70"/>
      <c r="L17" s="71" t="b">
        <v>0</v>
      </c>
      <c r="M17" s="71"/>
      <c r="N17" s="71"/>
      <c r="O17" s="68" t="b">
        <v>0</v>
      </c>
      <c r="P17" s="72"/>
      <c r="Q17" s="72"/>
      <c r="R17" s="72"/>
      <c r="S17" s="73"/>
      <c r="T17" s="73"/>
      <c r="U17" s="73"/>
      <c r="V17" s="68"/>
      <c r="W17" s="74"/>
      <c r="X17" s="74"/>
      <c r="Y17" s="74"/>
      <c r="Z17" s="74"/>
      <c r="AA17" s="74"/>
      <c r="AB17" s="74"/>
      <c r="AC17" s="74"/>
      <c r="AD17" s="74"/>
      <c r="AE17" s="76"/>
    </row>
    <row r="18">
      <c r="A18" s="77"/>
      <c r="B18" s="77"/>
      <c r="C18" s="77"/>
      <c r="D18" s="77"/>
      <c r="E18" s="66"/>
      <c r="F18" s="78"/>
      <c r="G18" s="78"/>
      <c r="H18" s="68"/>
      <c r="I18" s="68"/>
      <c r="J18" s="69"/>
      <c r="K18" s="70"/>
      <c r="L18" s="71" t="b">
        <v>0</v>
      </c>
      <c r="M18" s="71"/>
      <c r="N18" s="71"/>
      <c r="O18" s="68" t="b">
        <v>0</v>
      </c>
      <c r="P18" s="72"/>
      <c r="Q18" s="72"/>
      <c r="R18" s="72"/>
      <c r="S18" s="73"/>
      <c r="T18" s="73"/>
      <c r="U18" s="73"/>
      <c r="V18" s="68"/>
      <c r="W18" s="74"/>
      <c r="X18" s="74"/>
      <c r="Y18" s="74"/>
      <c r="Z18" s="74"/>
      <c r="AA18" s="74"/>
      <c r="AB18" s="74"/>
      <c r="AC18" s="74"/>
      <c r="AD18" s="74"/>
      <c r="AE18" s="76"/>
    </row>
    <row r="19">
      <c r="A19" s="77"/>
      <c r="B19" s="77"/>
      <c r="C19" s="77"/>
      <c r="D19" s="77"/>
      <c r="E19" s="66"/>
      <c r="F19" s="78"/>
      <c r="G19" s="78"/>
      <c r="H19" s="68"/>
      <c r="I19" s="68"/>
      <c r="J19" s="69"/>
      <c r="K19" s="70"/>
      <c r="L19" s="71" t="b">
        <v>0</v>
      </c>
      <c r="M19" s="71"/>
      <c r="N19" s="71"/>
      <c r="O19" s="68" t="b">
        <v>0</v>
      </c>
      <c r="P19" s="72"/>
      <c r="Q19" s="72"/>
      <c r="R19" s="72"/>
      <c r="S19" s="73"/>
      <c r="T19" s="73"/>
      <c r="U19" s="73"/>
      <c r="V19" s="68"/>
      <c r="W19" s="74"/>
      <c r="X19" s="74"/>
      <c r="Y19" s="74"/>
      <c r="Z19" s="74"/>
      <c r="AA19" s="74"/>
      <c r="AB19" s="74"/>
      <c r="AC19" s="74"/>
      <c r="AD19" s="74"/>
      <c r="AE19" s="76"/>
    </row>
    <row r="20">
      <c r="A20" s="77"/>
      <c r="B20" s="77"/>
      <c r="C20" s="77"/>
      <c r="D20" s="77"/>
      <c r="E20" s="66"/>
      <c r="F20" s="78"/>
      <c r="G20" s="78"/>
      <c r="H20" s="68"/>
      <c r="I20" s="68"/>
      <c r="J20" s="69"/>
      <c r="K20" s="70"/>
      <c r="L20" s="71" t="b">
        <v>0</v>
      </c>
      <c r="M20" s="71"/>
      <c r="N20" s="71"/>
      <c r="O20" s="68" t="b">
        <v>0</v>
      </c>
      <c r="P20" s="72"/>
      <c r="Q20" s="72"/>
      <c r="R20" s="72"/>
      <c r="S20" s="73"/>
      <c r="T20" s="73"/>
      <c r="U20" s="73"/>
      <c r="V20" s="68"/>
      <c r="W20" s="74"/>
      <c r="X20" s="74"/>
      <c r="Y20" s="74"/>
      <c r="Z20" s="74"/>
      <c r="AA20" s="74"/>
      <c r="AB20" s="74"/>
      <c r="AC20" s="74"/>
      <c r="AD20" s="74"/>
      <c r="AE20" s="76"/>
    </row>
    <row r="21">
      <c r="A21" s="77"/>
      <c r="B21" s="77"/>
      <c r="C21" s="77"/>
      <c r="D21" s="77"/>
      <c r="E21" s="66"/>
      <c r="F21" s="78"/>
      <c r="G21" s="78"/>
      <c r="H21" s="68"/>
      <c r="I21" s="68"/>
      <c r="J21" s="69"/>
      <c r="K21" s="70"/>
      <c r="L21" s="71" t="b">
        <v>0</v>
      </c>
      <c r="M21" s="71"/>
      <c r="N21" s="71"/>
      <c r="O21" s="68" t="b">
        <v>0</v>
      </c>
      <c r="P21" s="72"/>
      <c r="Q21" s="72"/>
      <c r="R21" s="72"/>
      <c r="S21" s="73"/>
      <c r="T21" s="73"/>
      <c r="U21" s="73"/>
      <c r="V21" s="68"/>
      <c r="W21" s="74"/>
      <c r="X21" s="74"/>
      <c r="Y21" s="74"/>
      <c r="Z21" s="74"/>
      <c r="AA21" s="74"/>
      <c r="AB21" s="74"/>
      <c r="AC21" s="74"/>
      <c r="AD21" s="74"/>
      <c r="AE21" s="76"/>
    </row>
  </sheetData>
  <autoFilter ref="$A$2:$AE$21"/>
  <mergeCells count="5">
    <mergeCell ref="B1:D1"/>
    <mergeCell ref="E1:J1"/>
    <mergeCell ref="K1:N1"/>
    <mergeCell ref="O1:V1"/>
    <mergeCell ref="W1:AA1"/>
  </mergeCells>
  <conditionalFormatting sqref="W3:AC21">
    <cfRule type="cellIs" dxfId="6" priority="1" operator="equal">
      <formula>"Low"</formula>
    </cfRule>
  </conditionalFormatting>
  <conditionalFormatting sqref="W3:AC21">
    <cfRule type="cellIs" dxfId="7" priority="2" operator="equal">
      <formula>"Medium"</formula>
    </cfRule>
  </conditionalFormatting>
  <conditionalFormatting sqref="W3:AC21">
    <cfRule type="cellIs" dxfId="8" priority="3" operator="equal">
      <formula>"High"</formula>
    </cfRule>
  </conditionalFormatting>
  <conditionalFormatting sqref="H3:J21">
    <cfRule type="colorScale" priority="4">
      <colorScale>
        <cfvo type="min"/>
        <cfvo type="max"/>
        <color rgb="FFFFFFFF"/>
        <color rgb="FF57BB8A"/>
      </colorScale>
    </cfRule>
  </conditionalFormatting>
  <conditionalFormatting sqref="A1:D1">
    <cfRule type="notContainsBlanks" dxfId="9" priority="5">
      <formula>LEN(TRIM(A1))&gt;0</formula>
    </cfRule>
  </conditionalFormatting>
  <dataValidations>
    <dataValidation type="list" allowBlank="1" showErrorMessage="1" sqref="M3:M21 AC3:AC21">
      <formula1>input_data!$D$2:$D$4</formula1>
    </dataValidation>
    <dataValidation type="list" allowBlank="1" showErrorMessage="1" sqref="E3:E21">
      <formula1>"Security,Observability,Both,Non-Security"</formula1>
    </dataValidation>
    <dataValidation type="custom" allowBlank="1" showDropDown="1" showInputMessage="1" prompt="Enter a valid date" sqref="P3:R21">
      <formula1>OR(NOT(ISERROR(DATEVALUE(P3))), AND(ISNUMBER(P3), LEFT(CELL("format", P3))="D"))</formula1>
    </dataValidation>
    <dataValidation type="list" allowBlank="1" showErrorMessage="1" sqref="Y3:Y21">
      <formula1>input_data!$H$2:$H$99</formula1>
    </dataValidation>
    <dataValidation type="list" allowBlank="1" showErrorMessage="1" sqref="W3:W21">
      <formula1>input_data!$F$2:$F$99</formula1>
    </dataValidation>
    <dataValidation type="list" allowBlank="1" showErrorMessage="1" sqref="AA3:AA21">
      <formula1>input_data!$J$2:$J$99</formula1>
    </dataValidation>
    <dataValidation type="list" allowBlank="1" showErrorMessage="1" sqref="G3:G21">
      <formula1>input_data!$A$2:$A$109</formula1>
    </dataValidation>
    <dataValidation type="list" allowBlank="1" showErrorMessage="1" sqref="X3:X21">
      <formula1>input_data!$G$2:$G$99</formula1>
    </dataValidation>
    <dataValidation type="list" allowBlank="1" showErrorMessage="1" sqref="AB3:AB21">
      <formula1>input_data!$K$2:$K$99</formula1>
    </dataValidation>
    <dataValidation type="list" allowBlank="1" showErrorMessage="1" sqref="H3:H21">
      <formula1>input_data!$C$2:$C$99</formula1>
    </dataValidation>
    <dataValidation type="list" allowBlank="1" showErrorMessage="1" sqref="I3:I21">
      <formula1>input_data!$B$2:$B$89</formula1>
    </dataValidation>
    <dataValidation type="list" allowBlank="1" showErrorMessage="1" sqref="F3:F21">
      <formula1>input_data!$E$2:$E$3</formula1>
    </dataValidation>
    <dataValidation type="list" allowBlank="1" showErrorMessage="1" sqref="Z3:Z21">
      <formula1>input_data!$I$2:$I$99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6" max="6" width="38.25"/>
    <col customWidth="1" min="7" max="7" width="17.0"/>
    <col customWidth="1" min="8" max="8" width="77.13"/>
    <col customWidth="1" min="9" max="9" width="80.63"/>
    <col customWidth="1" min="10" max="10" width="82.5"/>
    <col customWidth="1" min="11" max="11" width="59.75"/>
  </cols>
  <sheetData>
    <row r="1">
      <c r="A1" s="19" t="s">
        <v>89</v>
      </c>
      <c r="B1" s="19" t="s">
        <v>90</v>
      </c>
      <c r="C1" s="19" t="s">
        <v>91</v>
      </c>
      <c r="D1" s="19" t="s">
        <v>92</v>
      </c>
      <c r="E1" s="19" t="s">
        <v>93</v>
      </c>
      <c r="F1" s="89" t="s">
        <v>94</v>
      </c>
      <c r="G1" s="89" t="s">
        <v>95</v>
      </c>
      <c r="H1" s="89" t="s">
        <v>96</v>
      </c>
      <c r="I1" s="89" t="s">
        <v>97</v>
      </c>
      <c r="J1" s="89" t="s">
        <v>98</v>
      </c>
      <c r="K1" s="90" t="s">
        <v>99</v>
      </c>
    </row>
    <row r="2">
      <c r="A2" s="19" t="s">
        <v>100</v>
      </c>
      <c r="B2" s="45" t="s">
        <v>101</v>
      </c>
      <c r="C2" s="19" t="s">
        <v>102</v>
      </c>
      <c r="D2" s="19" t="s">
        <v>103</v>
      </c>
      <c r="E2" s="19" t="s">
        <v>104</v>
      </c>
      <c r="F2" s="91" t="s">
        <v>105</v>
      </c>
      <c r="G2" s="91" t="s">
        <v>106</v>
      </c>
      <c r="H2" s="91" t="s">
        <v>107</v>
      </c>
      <c r="I2" s="91" t="s">
        <v>108</v>
      </c>
      <c r="J2" s="91" t="s">
        <v>109</v>
      </c>
      <c r="K2" s="91" t="s">
        <v>110</v>
      </c>
    </row>
    <row r="3">
      <c r="A3" s="45" t="s">
        <v>111</v>
      </c>
      <c r="B3" s="45" t="s">
        <v>111</v>
      </c>
      <c r="C3" s="19" t="s">
        <v>112</v>
      </c>
      <c r="D3" s="19" t="s">
        <v>113</v>
      </c>
      <c r="E3" s="19" t="s">
        <v>114</v>
      </c>
      <c r="F3" s="91" t="s">
        <v>115</v>
      </c>
      <c r="G3" s="91" t="s">
        <v>116</v>
      </c>
      <c r="H3" s="91" t="s">
        <v>117</v>
      </c>
      <c r="I3" s="91" t="s">
        <v>118</v>
      </c>
      <c r="J3" s="91" t="s">
        <v>119</v>
      </c>
      <c r="K3" s="91" t="s">
        <v>120</v>
      </c>
    </row>
    <row r="4">
      <c r="A4" s="19" t="s">
        <v>121</v>
      </c>
      <c r="B4" s="45" t="s">
        <v>122</v>
      </c>
      <c r="C4" s="19" t="s">
        <v>123</v>
      </c>
      <c r="D4" s="19" t="s">
        <v>124</v>
      </c>
      <c r="E4" s="91"/>
      <c r="F4" s="91" t="s">
        <v>125</v>
      </c>
      <c r="G4" s="91" t="s">
        <v>126</v>
      </c>
      <c r="H4" s="91" t="s">
        <v>127</v>
      </c>
      <c r="I4" s="91" t="s">
        <v>128</v>
      </c>
      <c r="J4" s="91" t="s">
        <v>129</v>
      </c>
      <c r="K4" s="91" t="s">
        <v>130</v>
      </c>
    </row>
    <row r="5">
      <c r="A5" s="19" t="s">
        <v>131</v>
      </c>
      <c r="B5" s="19" t="s">
        <v>121</v>
      </c>
      <c r="C5" s="19" t="s">
        <v>132</v>
      </c>
      <c r="D5" s="91"/>
      <c r="E5" s="91"/>
      <c r="F5" s="91" t="s">
        <v>133</v>
      </c>
      <c r="G5" s="91" t="s">
        <v>134</v>
      </c>
      <c r="H5" s="91" t="s">
        <v>135</v>
      </c>
      <c r="I5" s="91" t="s">
        <v>136</v>
      </c>
      <c r="J5" s="91" t="s">
        <v>137</v>
      </c>
      <c r="K5" s="91" t="s">
        <v>138</v>
      </c>
    </row>
    <row r="6">
      <c r="A6" s="19" t="s">
        <v>139</v>
      </c>
      <c r="B6" s="19" t="s">
        <v>140</v>
      </c>
      <c r="C6" s="19" t="s">
        <v>141</v>
      </c>
      <c r="D6" s="91"/>
      <c r="E6" s="91"/>
      <c r="F6" s="91" t="s">
        <v>142</v>
      </c>
      <c r="G6" s="91" t="s">
        <v>143</v>
      </c>
      <c r="H6" s="91" t="s">
        <v>144</v>
      </c>
      <c r="I6" s="91" t="s">
        <v>145</v>
      </c>
      <c r="J6" s="91" t="s">
        <v>146</v>
      </c>
      <c r="K6" s="91" t="s">
        <v>147</v>
      </c>
    </row>
    <row r="7">
      <c r="A7" s="19" t="s">
        <v>148</v>
      </c>
      <c r="B7" s="19" t="s">
        <v>139</v>
      </c>
      <c r="C7" s="19" t="s">
        <v>149</v>
      </c>
      <c r="D7" s="91"/>
      <c r="E7" s="91"/>
      <c r="F7" s="91" t="s">
        <v>106</v>
      </c>
      <c r="G7" s="91" t="s">
        <v>150</v>
      </c>
      <c r="H7" s="91" t="s">
        <v>151</v>
      </c>
      <c r="I7" s="91" t="s">
        <v>152</v>
      </c>
      <c r="J7" s="91" t="s">
        <v>153</v>
      </c>
      <c r="K7" s="91" t="s">
        <v>154</v>
      </c>
    </row>
    <row r="8">
      <c r="A8" s="19" t="s">
        <v>155</v>
      </c>
      <c r="B8" s="45" t="s">
        <v>156</v>
      </c>
      <c r="C8" s="19" t="s">
        <v>157</v>
      </c>
      <c r="D8" s="91"/>
      <c r="E8" s="91"/>
      <c r="F8" s="91" t="s">
        <v>158</v>
      </c>
      <c r="G8" s="91" t="s">
        <v>159</v>
      </c>
      <c r="H8" s="91" t="s">
        <v>160</v>
      </c>
      <c r="I8" s="91" t="s">
        <v>161</v>
      </c>
      <c r="J8" s="91" t="s">
        <v>162</v>
      </c>
      <c r="K8" s="91"/>
    </row>
    <row r="9">
      <c r="A9" s="45" t="s">
        <v>163</v>
      </c>
      <c r="B9" s="19" t="s">
        <v>148</v>
      </c>
      <c r="C9" s="19" t="s">
        <v>164</v>
      </c>
      <c r="D9" s="91"/>
      <c r="E9" s="91"/>
      <c r="F9" s="91" t="s">
        <v>165</v>
      </c>
      <c r="G9" s="91" t="s">
        <v>166</v>
      </c>
      <c r="H9" s="91" t="s">
        <v>167</v>
      </c>
      <c r="I9" s="91" t="s">
        <v>168</v>
      </c>
      <c r="J9" s="91"/>
      <c r="K9" s="91"/>
    </row>
    <row r="10">
      <c r="A10" s="19" t="s">
        <v>169</v>
      </c>
      <c r="B10" s="45" t="s">
        <v>170</v>
      </c>
      <c r="C10" s="92" t="s">
        <v>171</v>
      </c>
      <c r="D10" s="91"/>
      <c r="E10" s="91"/>
      <c r="F10" s="91" t="s">
        <v>172</v>
      </c>
      <c r="G10" s="91" t="s">
        <v>173</v>
      </c>
      <c r="H10" s="91"/>
      <c r="I10" s="91" t="s">
        <v>174</v>
      </c>
      <c r="J10" s="91"/>
      <c r="K10" s="91"/>
    </row>
    <row r="11">
      <c r="A11" s="19" t="s">
        <v>175</v>
      </c>
      <c r="B11" s="19" t="s">
        <v>176</v>
      </c>
      <c r="C11" s="91"/>
      <c r="D11" s="91"/>
      <c r="E11" s="91"/>
      <c r="F11" s="91" t="s">
        <v>177</v>
      </c>
      <c r="G11" s="91" t="s">
        <v>178</v>
      </c>
      <c r="H11" s="91"/>
      <c r="I11" s="91" t="s">
        <v>179</v>
      </c>
      <c r="J11" s="91"/>
      <c r="K11" s="91"/>
    </row>
    <row r="12">
      <c r="A12" s="19" t="s">
        <v>180</v>
      </c>
      <c r="B12" s="19" t="s">
        <v>155</v>
      </c>
      <c r="C12" s="91"/>
      <c r="D12" s="91"/>
      <c r="E12" s="91"/>
      <c r="F12" s="91" t="s">
        <v>181</v>
      </c>
      <c r="G12" s="91" t="s">
        <v>182</v>
      </c>
      <c r="H12" s="91"/>
      <c r="I12" s="91" t="s">
        <v>183</v>
      </c>
      <c r="J12" s="91"/>
      <c r="K12" s="91"/>
    </row>
    <row r="13">
      <c r="A13" s="45" t="s">
        <v>184</v>
      </c>
      <c r="B13" s="19" t="s">
        <v>163</v>
      </c>
      <c r="C13" s="91"/>
      <c r="D13" s="91"/>
      <c r="E13" s="91"/>
      <c r="F13" s="91" t="s">
        <v>185</v>
      </c>
      <c r="G13" s="91"/>
      <c r="H13" s="91"/>
      <c r="I13" s="91" t="s">
        <v>186</v>
      </c>
      <c r="J13" s="91"/>
      <c r="K13" s="91"/>
    </row>
    <row r="14">
      <c r="A14" s="19" t="s">
        <v>187</v>
      </c>
      <c r="B14" s="19" t="s">
        <v>188</v>
      </c>
      <c r="C14" s="91"/>
      <c r="D14" s="91"/>
      <c r="E14" s="91"/>
      <c r="F14" s="91" t="s">
        <v>189</v>
      </c>
      <c r="G14" s="91"/>
      <c r="H14" s="91"/>
      <c r="I14" s="91"/>
      <c r="J14" s="91"/>
      <c r="K14" s="91"/>
    </row>
    <row r="15">
      <c r="A15" s="45" t="s">
        <v>190</v>
      </c>
      <c r="B15" s="19" t="s">
        <v>180</v>
      </c>
      <c r="C15" s="91"/>
      <c r="D15" s="91"/>
      <c r="E15" s="91"/>
      <c r="F15" s="91" t="s">
        <v>191</v>
      </c>
      <c r="G15" s="91"/>
      <c r="H15" s="91"/>
      <c r="I15" s="91"/>
      <c r="J15" s="91"/>
      <c r="K15" s="91"/>
    </row>
    <row r="16">
      <c r="A16" s="19" t="s">
        <v>192</v>
      </c>
      <c r="B16" s="45" t="s">
        <v>193</v>
      </c>
      <c r="C16" s="91"/>
      <c r="D16" s="91"/>
      <c r="E16" s="91"/>
      <c r="F16" s="91"/>
      <c r="G16" s="91"/>
      <c r="H16" s="91"/>
      <c r="I16" s="91"/>
      <c r="J16" s="91"/>
    </row>
    <row r="17">
      <c r="A17" s="19" t="s">
        <v>194</v>
      </c>
      <c r="B17" s="19" t="s">
        <v>195</v>
      </c>
      <c r="C17" s="91"/>
      <c r="D17" s="91"/>
      <c r="E17" s="91"/>
      <c r="F17" s="91"/>
      <c r="G17" s="91"/>
      <c r="H17" s="91"/>
      <c r="I17" s="91"/>
      <c r="J17" s="91"/>
    </row>
    <row r="18">
      <c r="A18" s="92" t="s">
        <v>196</v>
      </c>
      <c r="B18" s="45" t="s">
        <v>197</v>
      </c>
      <c r="C18" s="91"/>
      <c r="D18" s="91"/>
      <c r="E18" s="91"/>
    </row>
    <row r="19">
      <c r="A19" s="19" t="s">
        <v>198</v>
      </c>
      <c r="B19" s="92" t="s">
        <v>199</v>
      </c>
      <c r="C19" s="91"/>
      <c r="D19" s="91"/>
      <c r="E19" s="91"/>
    </row>
    <row r="20">
      <c r="A20" s="19" t="s">
        <v>200</v>
      </c>
      <c r="B20" s="19" t="s">
        <v>201</v>
      </c>
      <c r="C20" s="91"/>
      <c r="D20" s="91"/>
      <c r="E20" s="91"/>
    </row>
    <row r="21">
      <c r="A21" s="19" t="s">
        <v>202</v>
      </c>
      <c r="B21" s="92" t="s">
        <v>190</v>
      </c>
      <c r="C21" s="91"/>
      <c r="D21" s="91"/>
      <c r="E21" s="91"/>
    </row>
    <row r="22">
      <c r="A22" s="19" t="s">
        <v>203</v>
      </c>
      <c r="B22" s="19" t="s">
        <v>192</v>
      </c>
      <c r="C22" s="91"/>
      <c r="D22" s="91"/>
      <c r="E22" s="91"/>
    </row>
    <row r="23">
      <c r="A23" s="92" t="s">
        <v>204</v>
      </c>
      <c r="B23" s="92" t="s">
        <v>205</v>
      </c>
      <c r="C23" s="91"/>
      <c r="D23" s="91"/>
      <c r="E23" s="91"/>
    </row>
    <row r="24">
      <c r="A24" s="19" t="s">
        <v>206</v>
      </c>
      <c r="B24" s="19" t="s">
        <v>207</v>
      </c>
      <c r="C24" s="91"/>
      <c r="D24" s="91"/>
      <c r="E24" s="91"/>
    </row>
    <row r="25">
      <c r="A25" s="45" t="s">
        <v>208</v>
      </c>
      <c r="B25" s="45" t="s">
        <v>209</v>
      </c>
      <c r="C25" s="91"/>
      <c r="D25" s="91"/>
      <c r="E25" s="91"/>
    </row>
    <row r="26">
      <c r="A26" s="19" t="s">
        <v>210</v>
      </c>
      <c r="B26" s="19" t="s">
        <v>198</v>
      </c>
    </row>
    <row r="27">
      <c r="A27" s="45" t="s">
        <v>211</v>
      </c>
      <c r="B27" s="45" t="s">
        <v>212</v>
      </c>
    </row>
    <row r="28">
      <c r="A28" s="19" t="s">
        <v>213</v>
      </c>
      <c r="B28" s="19" t="s">
        <v>214</v>
      </c>
    </row>
    <row r="29">
      <c r="A29" s="19" t="s">
        <v>215</v>
      </c>
      <c r="B29" s="19" t="s">
        <v>210</v>
      </c>
    </row>
    <row r="30">
      <c r="A30" s="19" t="s">
        <v>216</v>
      </c>
      <c r="B30" s="19" t="s">
        <v>217</v>
      </c>
    </row>
    <row r="31">
      <c r="A31" s="19" t="s">
        <v>218</v>
      </c>
      <c r="B31" s="45" t="s">
        <v>219</v>
      </c>
    </row>
    <row r="32">
      <c r="A32" s="45" t="s">
        <v>220</v>
      </c>
      <c r="B32" s="19" t="s">
        <v>221</v>
      </c>
    </row>
    <row r="33">
      <c r="B33" s="19" t="s">
        <v>215</v>
      </c>
    </row>
    <row r="34">
      <c r="B34" s="45" t="s">
        <v>216</v>
      </c>
    </row>
    <row r="35">
      <c r="B35" s="19" t="s">
        <v>222</v>
      </c>
    </row>
    <row r="36">
      <c r="B36" s="91" t="s">
        <v>223</v>
      </c>
    </row>
  </sheetData>
  <drawing r:id="rId1"/>
</worksheet>
</file>